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uruU Bilgisayar\Desktop\etut\input_format\"/>
    </mc:Choice>
  </mc:AlternateContent>
  <xr:revisionPtr revIDLastSave="0" documentId="13_ncr:1_{C11D6444-84B7-4361-AF1E-316AE2B06449}" xr6:coauthVersionLast="47" xr6:coauthVersionMax="47" xr10:uidLastSave="{00000000-0000-0000-0000-000000000000}"/>
  <bookViews>
    <workbookView showSheetTabs="0" xWindow="-108" yWindow="-108" windowWidth="23256" windowHeight="12456" xr2:uid="{00000000-000D-0000-FFFF-FFFF00000000}"/>
  </bookViews>
  <sheets>
    <sheet name="ANA_SAYFA" sheetId="1" r:id="rId1"/>
    <sheet name="HAZIRLAYAN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Y38" i="1" l="1"/>
  <c r="Y37" i="1"/>
  <c r="Y36" i="1"/>
  <c r="Y35" i="1"/>
  <c r="Y34" i="1"/>
  <c r="Y33" i="1"/>
  <c r="Y32" i="1"/>
  <c r="Y31" i="1"/>
  <c r="Y30" i="1"/>
  <c r="Y29" i="1"/>
  <c r="Y28" i="1"/>
  <c r="Y27" i="1"/>
  <c r="Y26" i="1"/>
  <c r="Y25" i="1"/>
  <c r="Y24" i="1"/>
  <c r="Y23" i="1"/>
  <c r="Y22" i="1"/>
  <c r="E40" i="1"/>
  <c r="E63" i="1"/>
  <c r="X40" i="1"/>
  <c r="W40" i="1"/>
  <c r="V40" i="1"/>
  <c r="U40" i="1"/>
  <c r="T40" i="1"/>
  <c r="S40" i="1"/>
  <c r="R40" i="1"/>
  <c r="Q40" i="1"/>
  <c r="P40" i="1"/>
  <c r="O40" i="1"/>
  <c r="N40" i="1"/>
  <c r="M40" i="1"/>
  <c r="L40" i="1"/>
  <c r="K40" i="1"/>
  <c r="J40" i="1"/>
  <c r="I40" i="1"/>
  <c r="H40" i="1"/>
  <c r="G40" i="1"/>
  <c r="F40" i="1"/>
  <c r="Y39" i="1"/>
  <c r="Z57" i="1" l="1"/>
  <c r="Y57" i="1"/>
  <c r="Y58" i="1"/>
  <c r="M57" i="1"/>
  <c r="M58" i="1" l="1"/>
  <c r="M63" i="1"/>
  <c r="M59" i="1" l="1"/>
  <c r="M60" i="1" l="1"/>
  <c r="M61" i="1" l="1"/>
  <c r="O61" i="1" s="1"/>
  <c r="O57" i="1" l="1"/>
  <c r="O63" i="1" s="1"/>
  <c r="O58" i="1"/>
  <c r="O59" i="1"/>
  <c r="M62" i="1"/>
  <c r="Y59" i="1" s="1"/>
  <c r="O60" i="1"/>
  <c r="O62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pp</author>
  </authors>
  <commentList>
    <comment ref="Z9" authorId="0" shapeId="0" xr:uid="{00000000-0006-0000-0000-000001000000}">
      <text>
        <r>
          <rPr>
            <sz val="8"/>
            <color indexed="81"/>
            <rFont val="Tahoma"/>
            <family val="2"/>
            <charset val="162"/>
          </rPr>
          <t xml:space="preserve">yazılıya girmemeyenler için </t>
        </r>
        <r>
          <rPr>
            <b/>
            <sz val="8"/>
            <color indexed="81"/>
            <rFont val="Tahoma"/>
            <family val="2"/>
            <charset val="162"/>
          </rPr>
          <t xml:space="preserve">X </t>
        </r>
        <r>
          <rPr>
            <sz val="8"/>
            <color indexed="81"/>
            <rFont val="Tahoma"/>
            <family val="2"/>
            <charset val="162"/>
          </rPr>
          <t>işareti koyun</t>
        </r>
        <r>
          <rPr>
            <sz val="8"/>
            <color indexed="81"/>
            <rFont val="Tahoma"/>
            <family val="2"/>
            <charset val="162"/>
          </rPr>
          <t xml:space="preserve">
</t>
        </r>
      </text>
    </comment>
    <comment ref="Z10" authorId="0" shapeId="0" xr:uid="{00000000-0006-0000-0000-000002000000}">
      <text>
        <r>
          <rPr>
            <sz val="8"/>
            <color indexed="81"/>
            <rFont val="Tahoma"/>
            <family val="2"/>
            <charset val="162"/>
          </rPr>
          <t xml:space="preserve">yazılıya girmemeyenler için </t>
        </r>
        <r>
          <rPr>
            <b/>
            <sz val="8"/>
            <color indexed="81"/>
            <rFont val="Tahoma"/>
            <family val="2"/>
            <charset val="162"/>
          </rPr>
          <t xml:space="preserve">X </t>
        </r>
        <r>
          <rPr>
            <sz val="8"/>
            <color indexed="81"/>
            <rFont val="Tahoma"/>
            <family val="2"/>
            <charset val="162"/>
          </rPr>
          <t>işareti koyun</t>
        </r>
        <r>
          <rPr>
            <sz val="8"/>
            <color indexed="81"/>
            <rFont val="Tahoma"/>
            <family val="2"/>
            <charset val="162"/>
          </rPr>
          <t xml:space="preserve">
</t>
        </r>
      </text>
    </comment>
    <comment ref="Z11" authorId="0" shapeId="0" xr:uid="{00000000-0006-0000-0000-000003000000}">
      <text>
        <r>
          <rPr>
            <sz val="8"/>
            <color indexed="81"/>
            <rFont val="Tahoma"/>
            <family val="2"/>
            <charset val="162"/>
          </rPr>
          <t xml:space="preserve">yazılıya girmemeyenler için </t>
        </r>
        <r>
          <rPr>
            <b/>
            <sz val="8"/>
            <color indexed="81"/>
            <rFont val="Tahoma"/>
            <family val="2"/>
            <charset val="162"/>
          </rPr>
          <t xml:space="preserve">X </t>
        </r>
        <r>
          <rPr>
            <sz val="8"/>
            <color indexed="81"/>
            <rFont val="Tahoma"/>
            <family val="2"/>
            <charset val="162"/>
          </rPr>
          <t>işareti koyun</t>
        </r>
        <r>
          <rPr>
            <sz val="8"/>
            <color indexed="81"/>
            <rFont val="Tahoma"/>
            <family val="2"/>
            <charset val="162"/>
          </rPr>
          <t xml:space="preserve">
</t>
        </r>
      </text>
    </comment>
    <comment ref="Z12" authorId="0" shapeId="0" xr:uid="{00000000-0006-0000-0000-000004000000}">
      <text>
        <r>
          <rPr>
            <sz val="8"/>
            <color indexed="81"/>
            <rFont val="Tahoma"/>
            <family val="2"/>
            <charset val="162"/>
          </rPr>
          <t xml:space="preserve">yazılıya girmemeyenler için </t>
        </r>
        <r>
          <rPr>
            <b/>
            <sz val="8"/>
            <color indexed="81"/>
            <rFont val="Tahoma"/>
            <family val="2"/>
            <charset val="162"/>
          </rPr>
          <t xml:space="preserve">X </t>
        </r>
        <r>
          <rPr>
            <sz val="8"/>
            <color indexed="81"/>
            <rFont val="Tahoma"/>
            <family val="2"/>
            <charset val="162"/>
          </rPr>
          <t>işareti koyun</t>
        </r>
        <r>
          <rPr>
            <sz val="8"/>
            <color indexed="81"/>
            <rFont val="Tahoma"/>
            <family val="2"/>
            <charset val="162"/>
          </rPr>
          <t xml:space="preserve">
</t>
        </r>
      </text>
    </comment>
    <comment ref="Z13" authorId="0" shapeId="0" xr:uid="{00000000-0006-0000-0000-000005000000}">
      <text>
        <r>
          <rPr>
            <sz val="8"/>
            <color indexed="81"/>
            <rFont val="Tahoma"/>
            <family val="2"/>
            <charset val="162"/>
          </rPr>
          <t xml:space="preserve">yazılıya girmemeyenler için </t>
        </r>
        <r>
          <rPr>
            <b/>
            <sz val="8"/>
            <color indexed="81"/>
            <rFont val="Tahoma"/>
            <family val="2"/>
            <charset val="162"/>
          </rPr>
          <t xml:space="preserve">X </t>
        </r>
        <r>
          <rPr>
            <sz val="8"/>
            <color indexed="81"/>
            <rFont val="Tahoma"/>
            <family val="2"/>
            <charset val="162"/>
          </rPr>
          <t>işareti koyun</t>
        </r>
        <r>
          <rPr>
            <sz val="8"/>
            <color indexed="81"/>
            <rFont val="Tahoma"/>
            <family val="2"/>
            <charset val="162"/>
          </rPr>
          <t xml:space="preserve">
</t>
        </r>
      </text>
    </comment>
    <comment ref="Z14" authorId="0" shapeId="0" xr:uid="{00000000-0006-0000-0000-000006000000}">
      <text>
        <r>
          <rPr>
            <sz val="8"/>
            <color indexed="81"/>
            <rFont val="Tahoma"/>
            <family val="2"/>
            <charset val="162"/>
          </rPr>
          <t xml:space="preserve">yazılıya girmemeyenler için </t>
        </r>
        <r>
          <rPr>
            <b/>
            <sz val="8"/>
            <color indexed="81"/>
            <rFont val="Tahoma"/>
            <family val="2"/>
            <charset val="162"/>
          </rPr>
          <t xml:space="preserve">X </t>
        </r>
        <r>
          <rPr>
            <sz val="8"/>
            <color indexed="81"/>
            <rFont val="Tahoma"/>
            <family val="2"/>
            <charset val="162"/>
          </rPr>
          <t>işareti koyun</t>
        </r>
        <r>
          <rPr>
            <sz val="8"/>
            <color indexed="81"/>
            <rFont val="Tahoma"/>
            <family val="2"/>
            <charset val="162"/>
          </rPr>
          <t xml:space="preserve">
</t>
        </r>
      </text>
    </comment>
    <comment ref="Z15" authorId="0" shapeId="0" xr:uid="{00000000-0006-0000-0000-000007000000}">
      <text>
        <r>
          <rPr>
            <sz val="8"/>
            <color indexed="81"/>
            <rFont val="Tahoma"/>
            <family val="2"/>
            <charset val="162"/>
          </rPr>
          <t xml:space="preserve">yazılıya girmemeyenler için </t>
        </r>
        <r>
          <rPr>
            <b/>
            <sz val="8"/>
            <color indexed="81"/>
            <rFont val="Tahoma"/>
            <family val="2"/>
            <charset val="162"/>
          </rPr>
          <t xml:space="preserve">X </t>
        </r>
        <r>
          <rPr>
            <sz val="8"/>
            <color indexed="81"/>
            <rFont val="Tahoma"/>
            <family val="2"/>
            <charset val="162"/>
          </rPr>
          <t>işareti koyun</t>
        </r>
        <r>
          <rPr>
            <sz val="8"/>
            <color indexed="81"/>
            <rFont val="Tahoma"/>
            <family val="2"/>
            <charset val="162"/>
          </rPr>
          <t xml:space="preserve">
</t>
        </r>
      </text>
    </comment>
    <comment ref="Z16" authorId="0" shapeId="0" xr:uid="{00000000-0006-0000-0000-000008000000}">
      <text>
        <r>
          <rPr>
            <sz val="8"/>
            <color indexed="81"/>
            <rFont val="Tahoma"/>
            <family val="2"/>
            <charset val="162"/>
          </rPr>
          <t xml:space="preserve">yazılıya girmemeyenler için </t>
        </r>
        <r>
          <rPr>
            <b/>
            <sz val="8"/>
            <color indexed="81"/>
            <rFont val="Tahoma"/>
            <family val="2"/>
            <charset val="162"/>
          </rPr>
          <t xml:space="preserve">X </t>
        </r>
        <r>
          <rPr>
            <sz val="8"/>
            <color indexed="81"/>
            <rFont val="Tahoma"/>
            <family val="2"/>
            <charset val="162"/>
          </rPr>
          <t>işareti koyun</t>
        </r>
        <r>
          <rPr>
            <sz val="8"/>
            <color indexed="81"/>
            <rFont val="Tahoma"/>
            <family val="2"/>
            <charset val="162"/>
          </rPr>
          <t xml:space="preserve">
</t>
        </r>
      </text>
    </comment>
    <comment ref="Z17" authorId="0" shapeId="0" xr:uid="{00000000-0006-0000-0000-000009000000}">
      <text>
        <r>
          <rPr>
            <sz val="8"/>
            <color indexed="81"/>
            <rFont val="Tahoma"/>
            <family val="2"/>
            <charset val="162"/>
          </rPr>
          <t xml:space="preserve">yazılıya girmemeyenler için </t>
        </r>
        <r>
          <rPr>
            <b/>
            <sz val="8"/>
            <color indexed="81"/>
            <rFont val="Tahoma"/>
            <family val="2"/>
            <charset val="162"/>
          </rPr>
          <t xml:space="preserve">X </t>
        </r>
        <r>
          <rPr>
            <sz val="8"/>
            <color indexed="81"/>
            <rFont val="Tahoma"/>
            <family val="2"/>
            <charset val="162"/>
          </rPr>
          <t>işareti koyun</t>
        </r>
        <r>
          <rPr>
            <sz val="8"/>
            <color indexed="81"/>
            <rFont val="Tahoma"/>
            <family val="2"/>
            <charset val="162"/>
          </rPr>
          <t xml:space="preserve">
</t>
        </r>
      </text>
    </comment>
    <comment ref="Z18" authorId="0" shapeId="0" xr:uid="{00000000-0006-0000-0000-00000A000000}">
      <text>
        <r>
          <rPr>
            <sz val="8"/>
            <color indexed="81"/>
            <rFont val="Tahoma"/>
            <family val="2"/>
            <charset val="162"/>
          </rPr>
          <t xml:space="preserve">yazılıya girmemeyenler için </t>
        </r>
        <r>
          <rPr>
            <b/>
            <sz val="8"/>
            <color indexed="81"/>
            <rFont val="Tahoma"/>
            <family val="2"/>
            <charset val="162"/>
          </rPr>
          <t xml:space="preserve">X </t>
        </r>
        <r>
          <rPr>
            <sz val="8"/>
            <color indexed="81"/>
            <rFont val="Tahoma"/>
            <family val="2"/>
            <charset val="162"/>
          </rPr>
          <t>işareti koyun</t>
        </r>
        <r>
          <rPr>
            <sz val="8"/>
            <color indexed="81"/>
            <rFont val="Tahoma"/>
            <family val="2"/>
            <charset val="162"/>
          </rPr>
          <t xml:space="preserve">
</t>
        </r>
      </text>
    </comment>
    <comment ref="Z19" authorId="0" shapeId="0" xr:uid="{00000000-0006-0000-0000-00000B000000}">
      <text>
        <r>
          <rPr>
            <sz val="8"/>
            <color indexed="81"/>
            <rFont val="Tahoma"/>
            <family val="2"/>
            <charset val="162"/>
          </rPr>
          <t xml:space="preserve">yazılıya girmemeyenler için </t>
        </r>
        <r>
          <rPr>
            <b/>
            <sz val="8"/>
            <color indexed="81"/>
            <rFont val="Tahoma"/>
            <family val="2"/>
            <charset val="162"/>
          </rPr>
          <t xml:space="preserve">X </t>
        </r>
        <r>
          <rPr>
            <sz val="8"/>
            <color indexed="81"/>
            <rFont val="Tahoma"/>
            <family val="2"/>
            <charset val="162"/>
          </rPr>
          <t>işareti koyun</t>
        </r>
        <r>
          <rPr>
            <sz val="8"/>
            <color indexed="81"/>
            <rFont val="Tahoma"/>
            <family val="2"/>
            <charset val="162"/>
          </rPr>
          <t xml:space="preserve">
</t>
        </r>
      </text>
    </comment>
    <comment ref="Z20" authorId="0" shapeId="0" xr:uid="{00000000-0006-0000-0000-00000C000000}">
      <text>
        <r>
          <rPr>
            <sz val="8"/>
            <color indexed="81"/>
            <rFont val="Tahoma"/>
            <family val="2"/>
            <charset val="162"/>
          </rPr>
          <t xml:space="preserve">yazılıya girmemeyenler için </t>
        </r>
        <r>
          <rPr>
            <b/>
            <sz val="8"/>
            <color indexed="81"/>
            <rFont val="Tahoma"/>
            <family val="2"/>
            <charset val="162"/>
          </rPr>
          <t xml:space="preserve">X </t>
        </r>
        <r>
          <rPr>
            <sz val="8"/>
            <color indexed="81"/>
            <rFont val="Tahoma"/>
            <family val="2"/>
            <charset val="162"/>
          </rPr>
          <t>işareti koyun</t>
        </r>
        <r>
          <rPr>
            <sz val="8"/>
            <color indexed="81"/>
            <rFont val="Tahoma"/>
            <family val="2"/>
            <charset val="162"/>
          </rPr>
          <t xml:space="preserve">
</t>
        </r>
      </text>
    </comment>
    <comment ref="Z21" authorId="0" shapeId="0" xr:uid="{00000000-0006-0000-0000-00000D000000}">
      <text>
        <r>
          <rPr>
            <sz val="8"/>
            <color indexed="81"/>
            <rFont val="Tahoma"/>
            <family val="2"/>
            <charset val="162"/>
          </rPr>
          <t xml:space="preserve">yazılıya girmemeyenler için </t>
        </r>
        <r>
          <rPr>
            <b/>
            <sz val="8"/>
            <color indexed="81"/>
            <rFont val="Tahoma"/>
            <family val="2"/>
            <charset val="162"/>
          </rPr>
          <t xml:space="preserve">X </t>
        </r>
        <r>
          <rPr>
            <sz val="8"/>
            <color indexed="81"/>
            <rFont val="Tahoma"/>
            <family val="2"/>
            <charset val="162"/>
          </rPr>
          <t>işareti koyun</t>
        </r>
        <r>
          <rPr>
            <sz val="8"/>
            <color indexed="81"/>
            <rFont val="Tahoma"/>
            <family val="2"/>
            <charset val="162"/>
          </rPr>
          <t xml:space="preserve">
</t>
        </r>
      </text>
    </comment>
    <comment ref="Z22" authorId="0" shapeId="0" xr:uid="{00000000-0006-0000-0000-00000E000000}">
      <text>
        <r>
          <rPr>
            <sz val="8"/>
            <color indexed="81"/>
            <rFont val="Tahoma"/>
            <family val="2"/>
            <charset val="162"/>
          </rPr>
          <t xml:space="preserve">yazılıya girmemeyenler için </t>
        </r>
        <r>
          <rPr>
            <b/>
            <sz val="8"/>
            <color indexed="81"/>
            <rFont val="Tahoma"/>
            <family val="2"/>
            <charset val="162"/>
          </rPr>
          <t xml:space="preserve">X </t>
        </r>
        <r>
          <rPr>
            <sz val="8"/>
            <color indexed="81"/>
            <rFont val="Tahoma"/>
            <family val="2"/>
            <charset val="162"/>
          </rPr>
          <t>işareti koyun</t>
        </r>
        <r>
          <rPr>
            <sz val="8"/>
            <color indexed="81"/>
            <rFont val="Tahoma"/>
            <family val="2"/>
            <charset val="162"/>
          </rPr>
          <t xml:space="preserve">
</t>
        </r>
      </text>
    </comment>
    <comment ref="Z23" authorId="0" shapeId="0" xr:uid="{00000000-0006-0000-0000-00000F000000}">
      <text>
        <r>
          <rPr>
            <sz val="8"/>
            <color indexed="81"/>
            <rFont val="Tahoma"/>
            <family val="2"/>
            <charset val="162"/>
          </rPr>
          <t xml:space="preserve">yazılıya girmemeyenler için </t>
        </r>
        <r>
          <rPr>
            <b/>
            <sz val="8"/>
            <color indexed="81"/>
            <rFont val="Tahoma"/>
            <family val="2"/>
            <charset val="162"/>
          </rPr>
          <t xml:space="preserve">X </t>
        </r>
        <r>
          <rPr>
            <sz val="8"/>
            <color indexed="81"/>
            <rFont val="Tahoma"/>
            <family val="2"/>
            <charset val="162"/>
          </rPr>
          <t>işareti koyun</t>
        </r>
        <r>
          <rPr>
            <sz val="8"/>
            <color indexed="81"/>
            <rFont val="Tahoma"/>
            <family val="2"/>
            <charset val="162"/>
          </rPr>
          <t xml:space="preserve">
</t>
        </r>
      </text>
    </comment>
    <comment ref="Z24" authorId="0" shapeId="0" xr:uid="{00000000-0006-0000-0000-000010000000}">
      <text>
        <r>
          <rPr>
            <sz val="8"/>
            <color indexed="81"/>
            <rFont val="Tahoma"/>
            <family val="2"/>
            <charset val="162"/>
          </rPr>
          <t xml:space="preserve">yazılıya girmemeyenler için </t>
        </r>
        <r>
          <rPr>
            <b/>
            <sz val="8"/>
            <color indexed="81"/>
            <rFont val="Tahoma"/>
            <family val="2"/>
            <charset val="162"/>
          </rPr>
          <t xml:space="preserve">X </t>
        </r>
        <r>
          <rPr>
            <sz val="8"/>
            <color indexed="81"/>
            <rFont val="Tahoma"/>
            <family val="2"/>
            <charset val="162"/>
          </rPr>
          <t>işareti koyun</t>
        </r>
        <r>
          <rPr>
            <sz val="8"/>
            <color indexed="81"/>
            <rFont val="Tahoma"/>
            <family val="2"/>
            <charset val="162"/>
          </rPr>
          <t xml:space="preserve">
</t>
        </r>
      </text>
    </comment>
    <comment ref="Z25" authorId="0" shapeId="0" xr:uid="{00000000-0006-0000-0000-000011000000}">
      <text>
        <r>
          <rPr>
            <sz val="8"/>
            <color indexed="81"/>
            <rFont val="Tahoma"/>
            <family val="2"/>
            <charset val="162"/>
          </rPr>
          <t xml:space="preserve">yazılıya girmemeyenler için </t>
        </r>
        <r>
          <rPr>
            <b/>
            <sz val="8"/>
            <color indexed="81"/>
            <rFont val="Tahoma"/>
            <family val="2"/>
            <charset val="162"/>
          </rPr>
          <t xml:space="preserve">X </t>
        </r>
        <r>
          <rPr>
            <sz val="8"/>
            <color indexed="81"/>
            <rFont val="Tahoma"/>
            <family val="2"/>
            <charset val="162"/>
          </rPr>
          <t>işareti koyun</t>
        </r>
        <r>
          <rPr>
            <sz val="8"/>
            <color indexed="81"/>
            <rFont val="Tahoma"/>
            <family val="2"/>
            <charset val="162"/>
          </rPr>
          <t xml:space="preserve">
</t>
        </r>
      </text>
    </comment>
    <comment ref="Z26" authorId="0" shapeId="0" xr:uid="{00000000-0006-0000-0000-000012000000}">
      <text>
        <r>
          <rPr>
            <sz val="8"/>
            <color indexed="81"/>
            <rFont val="Tahoma"/>
            <family val="2"/>
            <charset val="162"/>
          </rPr>
          <t xml:space="preserve">yazılıya girmemeyenler için </t>
        </r>
        <r>
          <rPr>
            <b/>
            <sz val="8"/>
            <color indexed="81"/>
            <rFont val="Tahoma"/>
            <family val="2"/>
            <charset val="162"/>
          </rPr>
          <t xml:space="preserve">X </t>
        </r>
        <r>
          <rPr>
            <sz val="8"/>
            <color indexed="81"/>
            <rFont val="Tahoma"/>
            <family val="2"/>
            <charset val="162"/>
          </rPr>
          <t>işareti koyun</t>
        </r>
        <r>
          <rPr>
            <sz val="8"/>
            <color indexed="81"/>
            <rFont val="Tahoma"/>
            <family val="2"/>
            <charset val="162"/>
          </rPr>
          <t xml:space="preserve">
</t>
        </r>
      </text>
    </comment>
    <comment ref="Z27" authorId="0" shapeId="0" xr:uid="{00000000-0006-0000-0000-000013000000}">
      <text>
        <r>
          <rPr>
            <sz val="8"/>
            <color indexed="81"/>
            <rFont val="Tahoma"/>
            <family val="2"/>
            <charset val="162"/>
          </rPr>
          <t xml:space="preserve">yazılıya girmemeyenler için </t>
        </r>
        <r>
          <rPr>
            <b/>
            <sz val="8"/>
            <color indexed="81"/>
            <rFont val="Tahoma"/>
            <family val="2"/>
            <charset val="162"/>
          </rPr>
          <t xml:space="preserve">X </t>
        </r>
        <r>
          <rPr>
            <sz val="8"/>
            <color indexed="81"/>
            <rFont val="Tahoma"/>
            <family val="2"/>
            <charset val="162"/>
          </rPr>
          <t>işareti koyun</t>
        </r>
        <r>
          <rPr>
            <sz val="8"/>
            <color indexed="81"/>
            <rFont val="Tahoma"/>
            <family val="2"/>
            <charset val="162"/>
          </rPr>
          <t xml:space="preserve">
</t>
        </r>
      </text>
    </comment>
    <comment ref="Z28" authorId="0" shapeId="0" xr:uid="{00000000-0006-0000-0000-000014000000}">
      <text>
        <r>
          <rPr>
            <sz val="8"/>
            <color indexed="81"/>
            <rFont val="Tahoma"/>
            <family val="2"/>
            <charset val="162"/>
          </rPr>
          <t xml:space="preserve">yazılıya girmemeyenler için </t>
        </r>
        <r>
          <rPr>
            <b/>
            <sz val="8"/>
            <color indexed="81"/>
            <rFont val="Tahoma"/>
            <family val="2"/>
            <charset val="162"/>
          </rPr>
          <t xml:space="preserve">X </t>
        </r>
        <r>
          <rPr>
            <sz val="8"/>
            <color indexed="81"/>
            <rFont val="Tahoma"/>
            <family val="2"/>
            <charset val="162"/>
          </rPr>
          <t>işareti koyun</t>
        </r>
        <r>
          <rPr>
            <sz val="8"/>
            <color indexed="81"/>
            <rFont val="Tahoma"/>
            <family val="2"/>
            <charset val="162"/>
          </rPr>
          <t xml:space="preserve">
</t>
        </r>
      </text>
    </comment>
    <comment ref="Z29" authorId="0" shapeId="0" xr:uid="{00000000-0006-0000-0000-000015000000}">
      <text>
        <r>
          <rPr>
            <sz val="8"/>
            <color indexed="81"/>
            <rFont val="Tahoma"/>
            <family val="2"/>
            <charset val="162"/>
          </rPr>
          <t xml:space="preserve">yazılıya girmemeyenler için </t>
        </r>
        <r>
          <rPr>
            <b/>
            <sz val="8"/>
            <color indexed="81"/>
            <rFont val="Tahoma"/>
            <family val="2"/>
            <charset val="162"/>
          </rPr>
          <t xml:space="preserve">X </t>
        </r>
        <r>
          <rPr>
            <sz val="8"/>
            <color indexed="81"/>
            <rFont val="Tahoma"/>
            <family val="2"/>
            <charset val="162"/>
          </rPr>
          <t>işareti koyun</t>
        </r>
        <r>
          <rPr>
            <sz val="8"/>
            <color indexed="81"/>
            <rFont val="Tahoma"/>
            <family val="2"/>
            <charset val="162"/>
          </rPr>
          <t xml:space="preserve">
</t>
        </r>
      </text>
    </comment>
    <comment ref="Z30" authorId="0" shapeId="0" xr:uid="{00000000-0006-0000-0000-000016000000}">
      <text>
        <r>
          <rPr>
            <sz val="8"/>
            <color indexed="81"/>
            <rFont val="Tahoma"/>
            <family val="2"/>
            <charset val="162"/>
          </rPr>
          <t xml:space="preserve">yazılıya girmemeyenler için </t>
        </r>
        <r>
          <rPr>
            <b/>
            <sz val="8"/>
            <color indexed="81"/>
            <rFont val="Tahoma"/>
            <family val="2"/>
            <charset val="162"/>
          </rPr>
          <t xml:space="preserve">X </t>
        </r>
        <r>
          <rPr>
            <sz val="8"/>
            <color indexed="81"/>
            <rFont val="Tahoma"/>
            <family val="2"/>
            <charset val="162"/>
          </rPr>
          <t>işareti koyun</t>
        </r>
        <r>
          <rPr>
            <sz val="8"/>
            <color indexed="81"/>
            <rFont val="Tahoma"/>
            <family val="2"/>
            <charset val="162"/>
          </rPr>
          <t xml:space="preserve">
</t>
        </r>
      </text>
    </comment>
    <comment ref="Z31" authorId="0" shapeId="0" xr:uid="{00000000-0006-0000-0000-000017000000}">
      <text>
        <r>
          <rPr>
            <sz val="8"/>
            <color indexed="81"/>
            <rFont val="Tahoma"/>
            <family val="2"/>
            <charset val="162"/>
          </rPr>
          <t xml:space="preserve">yazılıya girmemeyenler için </t>
        </r>
        <r>
          <rPr>
            <b/>
            <sz val="8"/>
            <color indexed="81"/>
            <rFont val="Tahoma"/>
            <family val="2"/>
            <charset val="162"/>
          </rPr>
          <t xml:space="preserve">X </t>
        </r>
        <r>
          <rPr>
            <sz val="8"/>
            <color indexed="81"/>
            <rFont val="Tahoma"/>
            <family val="2"/>
            <charset val="162"/>
          </rPr>
          <t>işareti koyun</t>
        </r>
        <r>
          <rPr>
            <sz val="8"/>
            <color indexed="81"/>
            <rFont val="Tahoma"/>
            <family val="2"/>
            <charset val="162"/>
          </rPr>
          <t xml:space="preserve">
</t>
        </r>
      </text>
    </comment>
    <comment ref="Z32" authorId="0" shapeId="0" xr:uid="{00000000-0006-0000-0000-000018000000}">
      <text>
        <r>
          <rPr>
            <sz val="8"/>
            <color indexed="81"/>
            <rFont val="Tahoma"/>
            <family val="2"/>
            <charset val="162"/>
          </rPr>
          <t xml:space="preserve">yazılıya girmemeyenler için </t>
        </r>
        <r>
          <rPr>
            <b/>
            <sz val="8"/>
            <color indexed="81"/>
            <rFont val="Tahoma"/>
            <family val="2"/>
            <charset val="162"/>
          </rPr>
          <t xml:space="preserve">X </t>
        </r>
        <r>
          <rPr>
            <sz val="8"/>
            <color indexed="81"/>
            <rFont val="Tahoma"/>
            <family val="2"/>
            <charset val="162"/>
          </rPr>
          <t>işareti koyun</t>
        </r>
        <r>
          <rPr>
            <sz val="8"/>
            <color indexed="81"/>
            <rFont val="Tahoma"/>
            <family val="2"/>
            <charset val="162"/>
          </rPr>
          <t xml:space="preserve">
</t>
        </r>
      </text>
    </comment>
    <comment ref="Z33" authorId="0" shapeId="0" xr:uid="{00000000-0006-0000-0000-000019000000}">
      <text>
        <r>
          <rPr>
            <sz val="8"/>
            <color indexed="81"/>
            <rFont val="Tahoma"/>
            <family val="2"/>
            <charset val="162"/>
          </rPr>
          <t xml:space="preserve">yazılıya girmemeyenler için </t>
        </r>
        <r>
          <rPr>
            <b/>
            <sz val="8"/>
            <color indexed="81"/>
            <rFont val="Tahoma"/>
            <family val="2"/>
            <charset val="162"/>
          </rPr>
          <t xml:space="preserve">X </t>
        </r>
        <r>
          <rPr>
            <sz val="8"/>
            <color indexed="81"/>
            <rFont val="Tahoma"/>
            <family val="2"/>
            <charset val="162"/>
          </rPr>
          <t>işareti koyun</t>
        </r>
        <r>
          <rPr>
            <sz val="8"/>
            <color indexed="81"/>
            <rFont val="Tahoma"/>
            <family val="2"/>
            <charset val="162"/>
          </rPr>
          <t xml:space="preserve">
</t>
        </r>
      </text>
    </comment>
    <comment ref="Z34" authorId="0" shapeId="0" xr:uid="{00000000-0006-0000-0000-00001A000000}">
      <text>
        <r>
          <rPr>
            <sz val="8"/>
            <color indexed="81"/>
            <rFont val="Tahoma"/>
            <family val="2"/>
            <charset val="162"/>
          </rPr>
          <t xml:space="preserve">yazılıya girmemeyenler için </t>
        </r>
        <r>
          <rPr>
            <b/>
            <sz val="8"/>
            <color indexed="81"/>
            <rFont val="Tahoma"/>
            <family val="2"/>
            <charset val="162"/>
          </rPr>
          <t xml:space="preserve">X </t>
        </r>
        <r>
          <rPr>
            <sz val="8"/>
            <color indexed="81"/>
            <rFont val="Tahoma"/>
            <family val="2"/>
            <charset val="162"/>
          </rPr>
          <t>işareti koyun</t>
        </r>
        <r>
          <rPr>
            <sz val="8"/>
            <color indexed="81"/>
            <rFont val="Tahoma"/>
            <family val="2"/>
            <charset val="162"/>
          </rPr>
          <t xml:space="preserve">
</t>
        </r>
      </text>
    </comment>
    <comment ref="Z35" authorId="0" shapeId="0" xr:uid="{00000000-0006-0000-0000-00001B000000}">
      <text>
        <r>
          <rPr>
            <sz val="8"/>
            <color indexed="81"/>
            <rFont val="Tahoma"/>
            <family val="2"/>
            <charset val="162"/>
          </rPr>
          <t xml:space="preserve">yazılıya girmemeyenler için </t>
        </r>
        <r>
          <rPr>
            <b/>
            <sz val="8"/>
            <color indexed="81"/>
            <rFont val="Tahoma"/>
            <family val="2"/>
            <charset val="162"/>
          </rPr>
          <t xml:space="preserve">X </t>
        </r>
        <r>
          <rPr>
            <sz val="8"/>
            <color indexed="81"/>
            <rFont val="Tahoma"/>
            <family val="2"/>
            <charset val="162"/>
          </rPr>
          <t>işareti koyun</t>
        </r>
        <r>
          <rPr>
            <sz val="8"/>
            <color indexed="81"/>
            <rFont val="Tahoma"/>
            <family val="2"/>
            <charset val="162"/>
          </rPr>
          <t xml:space="preserve">
</t>
        </r>
      </text>
    </comment>
    <comment ref="Z36" authorId="0" shapeId="0" xr:uid="{00000000-0006-0000-0000-00001C000000}">
      <text>
        <r>
          <rPr>
            <sz val="8"/>
            <color indexed="81"/>
            <rFont val="Tahoma"/>
            <family val="2"/>
            <charset val="162"/>
          </rPr>
          <t xml:space="preserve">yazılıya girmemeyenler için </t>
        </r>
        <r>
          <rPr>
            <b/>
            <sz val="8"/>
            <color indexed="81"/>
            <rFont val="Tahoma"/>
            <family val="2"/>
            <charset val="162"/>
          </rPr>
          <t xml:space="preserve">X </t>
        </r>
        <r>
          <rPr>
            <sz val="8"/>
            <color indexed="81"/>
            <rFont val="Tahoma"/>
            <family val="2"/>
            <charset val="162"/>
          </rPr>
          <t>işareti koyun</t>
        </r>
        <r>
          <rPr>
            <sz val="8"/>
            <color indexed="81"/>
            <rFont val="Tahoma"/>
            <family val="2"/>
            <charset val="162"/>
          </rPr>
          <t xml:space="preserve">
</t>
        </r>
      </text>
    </comment>
    <comment ref="Z37" authorId="0" shapeId="0" xr:uid="{00000000-0006-0000-0000-00001D000000}">
      <text>
        <r>
          <rPr>
            <sz val="8"/>
            <color indexed="81"/>
            <rFont val="Tahoma"/>
            <family val="2"/>
            <charset val="162"/>
          </rPr>
          <t xml:space="preserve">yazılıya girmemeyenler için </t>
        </r>
        <r>
          <rPr>
            <b/>
            <sz val="8"/>
            <color indexed="81"/>
            <rFont val="Tahoma"/>
            <family val="2"/>
            <charset val="162"/>
          </rPr>
          <t xml:space="preserve">X </t>
        </r>
        <r>
          <rPr>
            <sz val="8"/>
            <color indexed="81"/>
            <rFont val="Tahoma"/>
            <family val="2"/>
            <charset val="162"/>
          </rPr>
          <t>işareti koyun</t>
        </r>
        <r>
          <rPr>
            <sz val="8"/>
            <color indexed="81"/>
            <rFont val="Tahoma"/>
            <family val="2"/>
            <charset val="162"/>
          </rPr>
          <t xml:space="preserve">
</t>
        </r>
      </text>
    </comment>
    <comment ref="Z38" authorId="0" shapeId="0" xr:uid="{00000000-0006-0000-0000-00001E000000}">
      <text>
        <r>
          <rPr>
            <sz val="8"/>
            <color indexed="81"/>
            <rFont val="Tahoma"/>
            <family val="2"/>
            <charset val="162"/>
          </rPr>
          <t xml:space="preserve">yazılıya girmemeyenler için </t>
        </r>
        <r>
          <rPr>
            <b/>
            <sz val="8"/>
            <color indexed="81"/>
            <rFont val="Tahoma"/>
            <family val="2"/>
            <charset val="162"/>
          </rPr>
          <t xml:space="preserve">X </t>
        </r>
        <r>
          <rPr>
            <sz val="8"/>
            <color indexed="81"/>
            <rFont val="Tahoma"/>
            <family val="2"/>
            <charset val="162"/>
          </rPr>
          <t>işareti koyun</t>
        </r>
        <r>
          <rPr>
            <sz val="8"/>
            <color indexed="81"/>
            <rFont val="Tahoma"/>
            <family val="2"/>
            <charset val="162"/>
          </rPr>
          <t xml:space="preserve">
</t>
        </r>
      </text>
    </comment>
    <comment ref="Z39" authorId="0" shapeId="0" xr:uid="{00000000-0006-0000-0000-00001F000000}">
      <text>
        <r>
          <rPr>
            <sz val="8"/>
            <color indexed="81"/>
            <rFont val="Tahoma"/>
            <family val="2"/>
            <charset val="162"/>
          </rPr>
          <t xml:space="preserve">yazılıya girmemeyenler için </t>
        </r>
        <r>
          <rPr>
            <b/>
            <sz val="8"/>
            <color indexed="81"/>
            <rFont val="Tahoma"/>
            <family val="2"/>
            <charset val="162"/>
          </rPr>
          <t xml:space="preserve">X </t>
        </r>
        <r>
          <rPr>
            <sz val="8"/>
            <color indexed="81"/>
            <rFont val="Tahoma"/>
            <family val="2"/>
            <charset val="162"/>
          </rPr>
          <t>işareti koyun</t>
        </r>
        <r>
          <rPr>
            <sz val="8"/>
            <color indexed="81"/>
            <rFont val="Tahoma"/>
            <family val="2"/>
            <charset val="16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<sst xmlns="http://schemas.openxmlformats.org/spreadsheetml/2006/main" count="36" uniqueCount="36">
  <si>
    <t>ÖĞRENCİNİN</t>
  </si>
  <si>
    <t>SORULAR</t>
  </si>
  <si>
    <t>SONUÇ</t>
  </si>
  <si>
    <t>GİRMEDİ</t>
  </si>
  <si>
    <t>SIRA
NO</t>
  </si>
  <si>
    <t>OKUL
 NO</t>
  </si>
  <si>
    <t>ADI VE SOYADI</t>
  </si>
  <si>
    <t>PUAN</t>
  </si>
  <si>
    <t>SORULARA GÖRE BAŞARI (%)</t>
  </si>
  <si>
    <t>TOPLAM</t>
  </si>
  <si>
    <t>SINAV ANALİZİ</t>
  </si>
  <si>
    <t>SINAVIN DEĞERLENDİRİLMESİ</t>
  </si>
  <si>
    <t>SINAV BAŞARI ANALİZ VE DEĞERLENDİRMESİ</t>
  </si>
  <si>
    <t xml:space="preserve">Okul </t>
  </si>
  <si>
    <t xml:space="preserve">Öğretim Yılı </t>
  </si>
  <si>
    <t xml:space="preserve">Dönem </t>
  </si>
  <si>
    <t xml:space="preserve">Ders </t>
  </si>
  <si>
    <t xml:space="preserve">Sınıf </t>
  </si>
  <si>
    <t xml:space="preserve">Sınav Numarası </t>
  </si>
  <si>
    <t xml:space="preserve">Ders Öğretmeni </t>
  </si>
  <si>
    <t xml:space="preserve">Sınav tarihi </t>
  </si>
  <si>
    <t>Puan</t>
  </si>
  <si>
    <t>Soruların ilgili olduğu konular, 
kazanımlar veya alt öğrenme alanları</t>
  </si>
  <si>
    <t>GRAFİK ANALİZ</t>
  </si>
  <si>
    <t xml:space="preserve">    0    - 49,99    (Geçmez)</t>
  </si>
  <si>
    <t>50,00 - 59,99    (Geçer)</t>
  </si>
  <si>
    <t>60,00 - 69,99    (Orta)</t>
  </si>
  <si>
    <t>70,00 - 84,99    (İyi)</t>
  </si>
  <si>
    <t>85,00 - 100       (Pekiyi)</t>
  </si>
  <si>
    <t>Puan Ortalaması</t>
  </si>
  <si>
    <t>Başarılı öğrenci sayısı</t>
  </si>
  <si>
    <t>Başarısız öğrenci sayısı</t>
  </si>
  <si>
    <t>Sınav sonu başarı yüzdesi</t>
  </si>
  <si>
    <t>En yüksek / düşük puan</t>
  </si>
  <si>
    <t>Özel Data Kent Anadolu Lisesi</t>
  </si>
  <si>
    <t>: 2025/2026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</si>
</sst>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%0"/>
  </numFmts>
  <fonts count="15" x14ac:knownFonts="1">
    <font>
      <sz val="10"/>
      <name val="Arial Tur"/>
      <charset val="162"/>
    </font>
    <font>
      <sz val="11"/>
      <color theme="1"/>
      <name val="Calibri"/>
      <family val="2"/>
      <charset val="162"/>
      <scheme val="minor"/>
    </font>
    <font>
      <b/>
      <sz val="10"/>
      <name val="Tahoma"/>
      <family val="2"/>
      <charset val="162"/>
    </font>
    <font>
      <b/>
      <sz val="8"/>
      <name val="Tahoma"/>
      <family val="2"/>
      <charset val="162"/>
    </font>
    <font>
      <sz val="8"/>
      <color indexed="81"/>
      <name val="Tahoma"/>
      <family val="2"/>
      <charset val="162"/>
    </font>
    <font>
      <b/>
      <sz val="8"/>
      <color indexed="81"/>
      <name val="Tahoma"/>
      <family val="2"/>
      <charset val="162"/>
    </font>
    <font>
      <b/>
      <sz val="12"/>
      <name val="Tahoma"/>
      <family val="2"/>
      <charset val="162"/>
    </font>
    <font>
      <b/>
      <sz val="9"/>
      <name val="Tahoma"/>
      <family val="2"/>
      <charset val="162"/>
    </font>
    <font>
      <sz val="10"/>
      <name val="Tahoma"/>
      <family val="2"/>
      <charset val="162"/>
    </font>
    <font>
      <b/>
      <sz val="16"/>
      <name val="Tahoma"/>
      <family val="2"/>
      <charset val="162"/>
    </font>
    <font>
      <sz val="11"/>
      <color theme="1"/>
      <name val="Calibri"/>
      <family val="2"/>
      <scheme val="minor"/>
    </font>
    <font>
      <b/>
      <sz val="11"/>
      <name val="Tahoma"/>
      <family val="2"/>
      <charset val="162"/>
    </font>
    <font>
      <b/>
      <sz val="11"/>
      <color theme="1"/>
      <name val="Tahoma"/>
      <family val="2"/>
      <charset val="162"/>
    </font>
    <font>
      <b/>
      <sz val="14"/>
      <name val="Tahoma"/>
      <family val="2"/>
      <charset val="162"/>
    </font>
    <font>
      <b/>
      <sz val="6"/>
      <name val="Tahoma"/>
      <family val="2"/>
      <charset val="162"/>
    </font>
  </fonts>
  <fills count="6">
    <fill>
      <patternFill patternType="none"/>
    </fill>
    <fill>
      <patternFill patternType="gray125"/>
    </fill>
    <fill>
      <patternFill patternType="solid">
        <fgColor indexed="15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CCFFFF"/>
        <bgColor indexed="64"/>
      </patternFill>
    </fill>
  </fills>
  <borders count="45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10" fillId="0" borderId="0"/>
  </cellStyleXfs>
  <cellXfs count="118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 wrapText="1"/>
    </xf>
    <xf numFmtId="1" fontId="2" fillId="2" borderId="5" xfId="0" applyNumberFormat="1" applyFont="1" applyFill="1" applyBorder="1" applyAlignment="1">
      <alignment horizontal="center" vertical="center"/>
    </xf>
    <xf numFmtId="1" fontId="2" fillId="2" borderId="6" xfId="0" applyNumberFormat="1" applyFont="1" applyFill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/>
    <xf numFmtId="0" fontId="2" fillId="0" borderId="0" xfId="0" applyFont="1"/>
    <xf numFmtId="0" fontId="2" fillId="2" borderId="12" xfId="0" applyFont="1" applyFill="1" applyBorder="1"/>
    <xf numFmtId="0" fontId="2" fillId="2" borderId="0" xfId="0" applyFont="1" applyFill="1"/>
    <xf numFmtId="0" fontId="2" fillId="2" borderId="11" xfId="0" applyFont="1" applyFill="1" applyBorder="1"/>
    <xf numFmtId="0" fontId="2" fillId="2" borderId="14" xfId="0" applyFont="1" applyFill="1" applyBorder="1"/>
    <xf numFmtId="0" fontId="2" fillId="2" borderId="15" xfId="0" applyFont="1" applyFill="1" applyBorder="1"/>
    <xf numFmtId="0" fontId="2" fillId="2" borderId="16" xfId="0" applyFont="1" applyFill="1" applyBorder="1"/>
    <xf numFmtId="0" fontId="8" fillId="4" borderId="17" xfId="0" applyFont="1" applyFill="1" applyBorder="1" applyAlignment="1" applyProtection="1">
      <alignment horizontal="center" vertical="center"/>
      <protection locked="0"/>
    </xf>
    <xf numFmtId="0" fontId="8" fillId="4" borderId="4" xfId="0" applyFont="1" applyFill="1" applyBorder="1" applyAlignment="1" applyProtection="1">
      <alignment horizontal="center" vertical="center" wrapText="1"/>
      <protection locked="0"/>
    </xf>
    <xf numFmtId="0" fontId="8" fillId="4" borderId="4" xfId="0" applyFont="1" applyFill="1" applyBorder="1" applyAlignment="1" applyProtection="1">
      <alignment horizontal="left" vertical="center" wrapText="1" indent="1"/>
      <protection locked="0"/>
    </xf>
    <xf numFmtId="1" fontId="8" fillId="4" borderId="4" xfId="0" applyNumberFormat="1" applyFont="1" applyFill="1" applyBorder="1" applyAlignment="1" applyProtection="1">
      <alignment horizontal="center" vertical="center"/>
      <protection locked="0"/>
    </xf>
    <xf numFmtId="0" fontId="8" fillId="4" borderId="18" xfId="0" applyFont="1" applyFill="1" applyBorder="1" applyAlignment="1" applyProtection="1">
      <alignment horizontal="center" vertical="center"/>
      <protection locked="0"/>
    </xf>
    <xf numFmtId="1" fontId="2" fillId="2" borderId="4" xfId="0" applyNumberFormat="1" applyFont="1" applyFill="1" applyBorder="1" applyAlignment="1">
      <alignment horizontal="center" vertical="center"/>
    </xf>
    <xf numFmtId="1" fontId="2" fillId="2" borderId="17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2" borderId="20" xfId="0" applyFont="1" applyFill="1" applyBorder="1" applyAlignment="1">
      <alignment horizontal="center" vertical="center"/>
    </xf>
    <xf numFmtId="0" fontId="0" fillId="0" borderId="0" xfId="0" applyAlignment="1">
      <alignment wrapText="1"/>
    </xf>
    <xf numFmtId="1" fontId="2" fillId="2" borderId="21" xfId="0" applyNumberFormat="1" applyFont="1" applyFill="1" applyBorder="1" applyAlignment="1">
      <alignment horizontal="center" vertical="center"/>
    </xf>
    <xf numFmtId="0" fontId="2" fillId="2" borderId="44" xfId="0" applyFont="1" applyFill="1" applyBorder="1" applyAlignment="1">
      <alignment horizontal="center" vertical="center" wrapText="1"/>
    </xf>
    <xf numFmtId="0" fontId="2" fillId="4" borderId="17" xfId="0" applyFont="1" applyFill="1" applyBorder="1" applyAlignment="1" applyProtection="1">
      <alignment horizontal="center" vertical="center"/>
      <protection locked="0"/>
    </xf>
    <xf numFmtId="0" fontId="11" fillId="0" borderId="4" xfId="0" applyFont="1" applyBorder="1" applyAlignment="1">
      <alignment horizontal="center" vertical="center" shrinkToFit="1"/>
    </xf>
    <xf numFmtId="0" fontId="12" fillId="0" borderId="4" xfId="1" applyFont="1" applyBorder="1" applyAlignment="1">
      <alignment vertical="center"/>
    </xf>
    <xf numFmtId="0" fontId="12" fillId="0" borderId="4" xfId="0" applyFont="1" applyBorder="1" applyAlignment="1">
      <alignment horizontal="center" vertical="center"/>
    </xf>
    <xf numFmtId="0" fontId="12" fillId="0" borderId="4" xfId="0" applyFont="1" applyBorder="1" applyAlignment="1">
      <alignment vertical="center"/>
    </xf>
    <xf numFmtId="0" fontId="12" fillId="0" borderId="4" xfId="2" applyFont="1" applyBorder="1" applyAlignment="1">
      <alignment vertical="center"/>
    </xf>
    <xf numFmtId="0" fontId="11" fillId="0" borderId="4" xfId="0" applyFont="1" applyBorder="1" applyAlignment="1">
      <alignment horizontal="center" vertical="center"/>
    </xf>
    <xf numFmtId="1" fontId="2" fillId="4" borderId="4" xfId="0" applyNumberFormat="1" applyFont="1" applyFill="1" applyBorder="1" applyAlignment="1" applyProtection="1">
      <alignment horizontal="center" vertical="center"/>
      <protection locked="0"/>
    </xf>
    <xf numFmtId="0" fontId="13" fillId="4" borderId="17" xfId="0" applyFont="1" applyFill="1" applyBorder="1" applyAlignment="1" applyProtection="1">
      <alignment horizontal="center" vertical="center"/>
      <protection locked="0"/>
    </xf>
    <xf numFmtId="0" fontId="8" fillId="3" borderId="0" xfId="0" applyFont="1" applyFill="1" applyAlignment="1" applyProtection="1">
      <alignment horizontal="left" vertical="center"/>
      <protection locked="0"/>
    </xf>
    <xf numFmtId="0" fontId="2" fillId="2" borderId="4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2" fillId="4" borderId="4" xfId="0" applyFont="1" applyFill="1" applyBorder="1" applyAlignment="1" applyProtection="1">
      <alignment horizontal="center" vertical="center"/>
      <protection locked="0"/>
    </xf>
    <xf numFmtId="0" fontId="8" fillId="4" borderId="4" xfId="0" applyFont="1" applyFill="1" applyBorder="1" applyAlignment="1" applyProtection="1">
      <alignment horizontal="center" vertical="center"/>
      <protection locked="0"/>
    </xf>
    <xf numFmtId="0" fontId="2" fillId="2" borderId="21" xfId="0" applyFont="1" applyFill="1" applyBorder="1" applyAlignment="1">
      <alignment horizontal="center" vertical="center"/>
    </xf>
    <xf numFmtId="0" fontId="2" fillId="2" borderId="22" xfId="0" applyFont="1" applyFill="1" applyBorder="1" applyAlignment="1">
      <alignment horizontal="center" vertical="center"/>
    </xf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  <xf numFmtId="0" fontId="8" fillId="3" borderId="0" xfId="0" applyFont="1" applyFill="1" applyAlignment="1" applyProtection="1">
      <alignment horizontal="left" vertical="center"/>
      <protection locked="0"/>
    </xf>
    <xf numFmtId="0" fontId="6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1" fontId="2" fillId="2" borderId="4" xfId="0" quotePrefix="1" applyNumberFormat="1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1" fontId="7" fillId="2" borderId="4" xfId="0" applyNumberFormat="1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3" fillId="4" borderId="4" xfId="0" applyFont="1" applyFill="1" applyBorder="1" applyAlignment="1" applyProtection="1">
      <alignment horizontal="left" vertical="center" wrapText="1" indent="1"/>
      <protection locked="0"/>
    </xf>
    <xf numFmtId="0" fontId="3" fillId="4" borderId="4" xfId="0" applyFont="1" applyFill="1" applyBorder="1" applyAlignment="1" applyProtection="1">
      <alignment horizontal="left" vertical="center" indent="1"/>
      <protection locked="0"/>
    </xf>
    <xf numFmtId="0" fontId="8" fillId="4" borderId="4" xfId="0" applyFont="1" applyFill="1" applyBorder="1" applyAlignment="1" applyProtection="1">
      <alignment horizontal="left" vertical="center" indent="1"/>
      <protection locked="0"/>
    </xf>
    <xf numFmtId="14" fontId="8" fillId="3" borderId="0" xfId="0" applyNumberFormat="1" applyFont="1" applyFill="1" applyAlignment="1" applyProtection="1">
      <alignment horizontal="left" vertical="center"/>
      <protection locked="0"/>
    </xf>
    <xf numFmtId="0" fontId="2" fillId="2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28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2" fillId="2" borderId="30" xfId="0" applyFont="1" applyFill="1" applyBorder="1" applyAlignment="1">
      <alignment horizontal="center" vertical="center"/>
    </xf>
    <xf numFmtId="0" fontId="2" fillId="2" borderId="27" xfId="0" applyFont="1" applyFill="1" applyBorder="1" applyAlignment="1">
      <alignment horizontal="center" vertical="center"/>
    </xf>
    <xf numFmtId="0" fontId="2" fillId="2" borderId="29" xfId="0" applyFont="1" applyFill="1" applyBorder="1" applyAlignment="1">
      <alignment horizontal="center" vertical="center"/>
    </xf>
    <xf numFmtId="0" fontId="3" fillId="2" borderId="31" xfId="0" applyFont="1" applyFill="1" applyBorder="1" applyAlignment="1">
      <alignment horizontal="center" vertical="center" textRotation="90"/>
    </xf>
    <xf numFmtId="0" fontId="3" fillId="2" borderId="32" xfId="0" applyFont="1" applyFill="1" applyBorder="1" applyAlignment="1">
      <alignment horizontal="center" vertical="center" textRotation="90"/>
    </xf>
    <xf numFmtId="0" fontId="7" fillId="4" borderId="4" xfId="0" applyFont="1" applyFill="1" applyBorder="1" applyAlignment="1" applyProtection="1">
      <alignment horizontal="left" vertical="center" indent="1"/>
      <protection locked="0"/>
    </xf>
    <xf numFmtId="0" fontId="2" fillId="2" borderId="26" xfId="0" applyFont="1" applyFill="1" applyBorder="1" applyAlignment="1">
      <alignment horizontal="center" vertical="center"/>
    </xf>
    <xf numFmtId="0" fontId="2" fillId="2" borderId="33" xfId="0" applyFont="1" applyFill="1" applyBorder="1" applyAlignment="1">
      <alignment horizontal="center" vertical="center"/>
    </xf>
    <xf numFmtId="0" fontId="2" fillId="2" borderId="34" xfId="0" applyFont="1" applyFill="1" applyBorder="1" applyAlignment="1">
      <alignment horizontal="center" vertical="center"/>
    </xf>
    <xf numFmtId="0" fontId="2" fillId="2" borderId="35" xfId="0" applyFont="1" applyFill="1" applyBorder="1" applyAlignment="1">
      <alignment horizontal="center" vertical="center"/>
    </xf>
    <xf numFmtId="0" fontId="14" fillId="4" borderId="4" xfId="0" applyFont="1" applyFill="1" applyBorder="1" applyAlignment="1" applyProtection="1">
      <alignment horizontal="left" vertical="center" indent="1"/>
      <protection locked="0"/>
    </xf>
    <xf numFmtId="0" fontId="2" fillId="2" borderId="21" xfId="0" applyFont="1" applyFill="1" applyBorder="1" applyAlignment="1">
      <alignment horizontal="center" vertical="center" wrapText="1"/>
    </xf>
    <xf numFmtId="0" fontId="2" fillId="2" borderId="37" xfId="0" applyFont="1" applyFill="1" applyBorder="1" applyAlignment="1">
      <alignment horizontal="center" vertical="center" wrapText="1"/>
    </xf>
    <xf numFmtId="0" fontId="2" fillId="2" borderId="2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left" vertical="center" indent="1"/>
    </xf>
    <xf numFmtId="0" fontId="2" fillId="2" borderId="4" xfId="0" applyFont="1" applyFill="1" applyBorder="1" applyAlignment="1">
      <alignment horizontal="left" vertical="center" indent="1"/>
    </xf>
    <xf numFmtId="0" fontId="2" fillId="2" borderId="19" xfId="0" applyFont="1" applyFill="1" applyBorder="1" applyAlignment="1">
      <alignment horizontal="center" vertical="center"/>
    </xf>
    <xf numFmtId="0" fontId="2" fillId="2" borderId="20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17" xfId="0" applyFont="1" applyFill="1" applyBorder="1" applyAlignment="1">
      <alignment horizontal="center" vertical="center"/>
    </xf>
    <xf numFmtId="1" fontId="2" fillId="2" borderId="3" xfId="0" applyNumberFormat="1" applyFont="1" applyFill="1" applyBorder="1" applyAlignment="1">
      <alignment horizontal="left" vertical="center" indent="1"/>
    </xf>
    <xf numFmtId="1" fontId="2" fillId="2" borderId="4" xfId="0" applyNumberFormat="1" applyFont="1" applyFill="1" applyBorder="1" applyAlignment="1">
      <alignment horizontal="left" vertical="center" indent="1"/>
    </xf>
    <xf numFmtId="1" fontId="2" fillId="2" borderId="44" xfId="0" applyNumberFormat="1" applyFont="1" applyFill="1" applyBorder="1" applyAlignment="1">
      <alignment horizontal="left" vertical="center" indent="1"/>
    </xf>
    <xf numFmtId="1" fontId="2" fillId="2" borderId="37" xfId="0" applyNumberFormat="1" applyFont="1" applyFill="1" applyBorder="1" applyAlignment="1">
      <alignment horizontal="left" vertical="center" indent="1"/>
    </xf>
    <xf numFmtId="1" fontId="2" fillId="2" borderId="22" xfId="0" applyNumberFormat="1" applyFont="1" applyFill="1" applyBorder="1" applyAlignment="1">
      <alignment horizontal="left" vertical="center" indent="1"/>
    </xf>
    <xf numFmtId="1" fontId="2" fillId="2" borderId="4" xfId="0" applyNumberFormat="1" applyFont="1" applyFill="1" applyBorder="1" applyAlignment="1">
      <alignment horizontal="center" vertical="center"/>
    </xf>
    <xf numFmtId="1" fontId="2" fillId="2" borderId="17" xfId="0" applyNumberFormat="1" applyFont="1" applyFill="1" applyBorder="1" applyAlignment="1">
      <alignment horizontal="center" vertical="center"/>
    </xf>
    <xf numFmtId="164" fontId="2" fillId="2" borderId="4" xfId="0" applyNumberFormat="1" applyFont="1" applyFill="1" applyBorder="1" applyAlignment="1">
      <alignment horizontal="center" vertical="center"/>
    </xf>
    <xf numFmtId="164" fontId="2" fillId="2" borderId="17" xfId="0" applyNumberFormat="1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left" vertical="center" indent="1"/>
    </xf>
    <xf numFmtId="0" fontId="2" fillId="2" borderId="5" xfId="0" applyFont="1" applyFill="1" applyBorder="1" applyAlignment="1">
      <alignment horizontal="left" vertical="center" indent="1"/>
    </xf>
    <xf numFmtId="1" fontId="2" fillId="5" borderId="23" xfId="0" applyNumberFormat="1" applyFont="1" applyFill="1" applyBorder="1" applyAlignment="1" applyProtection="1">
      <alignment horizontal="center" wrapText="1"/>
      <protection locked="0"/>
    </xf>
    <xf numFmtId="1" fontId="2" fillId="5" borderId="24" xfId="0" applyNumberFormat="1" applyFont="1" applyFill="1" applyBorder="1" applyAlignment="1" applyProtection="1">
      <alignment horizontal="center" wrapText="1"/>
      <protection locked="0"/>
    </xf>
    <xf numFmtId="1" fontId="2" fillId="5" borderId="25" xfId="0" applyNumberFormat="1" applyFont="1" applyFill="1" applyBorder="1" applyAlignment="1" applyProtection="1">
      <alignment horizontal="center" wrapText="1"/>
      <protection locked="0"/>
    </xf>
    <xf numFmtId="1" fontId="2" fillId="5" borderId="12" xfId="0" applyNumberFormat="1" applyFont="1" applyFill="1" applyBorder="1" applyAlignment="1" applyProtection="1">
      <alignment horizontal="center" wrapText="1"/>
      <protection locked="0"/>
    </xf>
    <xf numFmtId="1" fontId="2" fillId="5" borderId="0" xfId="0" applyNumberFormat="1" applyFont="1" applyFill="1" applyAlignment="1" applyProtection="1">
      <alignment horizontal="center" wrapText="1"/>
      <protection locked="0"/>
    </xf>
    <xf numFmtId="1" fontId="2" fillId="5" borderId="11" xfId="0" applyNumberFormat="1" applyFont="1" applyFill="1" applyBorder="1" applyAlignment="1" applyProtection="1">
      <alignment horizontal="center" wrapText="1"/>
      <protection locked="0"/>
    </xf>
    <xf numFmtId="1" fontId="2" fillId="5" borderId="14" xfId="0" applyNumberFormat="1" applyFont="1" applyFill="1" applyBorder="1" applyAlignment="1" applyProtection="1">
      <alignment horizontal="center" wrapText="1"/>
      <protection locked="0"/>
    </xf>
    <xf numFmtId="1" fontId="2" fillId="5" borderId="15" xfId="0" applyNumberFormat="1" applyFont="1" applyFill="1" applyBorder="1" applyAlignment="1" applyProtection="1">
      <alignment horizontal="center" wrapText="1"/>
      <protection locked="0"/>
    </xf>
    <xf numFmtId="1" fontId="2" fillId="5" borderId="16" xfId="0" applyNumberFormat="1" applyFont="1" applyFill="1" applyBorder="1" applyAlignment="1" applyProtection="1">
      <alignment horizontal="center" wrapText="1"/>
      <protection locked="0"/>
    </xf>
    <xf numFmtId="1" fontId="2" fillId="2" borderId="23" xfId="0" applyNumberFormat="1" applyFont="1" applyFill="1" applyBorder="1" applyAlignment="1">
      <alignment horizontal="left" vertical="center" indent="1"/>
    </xf>
    <xf numFmtId="1" fontId="2" fillId="2" borderId="24" xfId="0" applyNumberFormat="1" applyFont="1" applyFill="1" applyBorder="1" applyAlignment="1">
      <alignment horizontal="left" vertical="center" indent="1"/>
    </xf>
    <xf numFmtId="1" fontId="2" fillId="2" borderId="39" xfId="0" applyNumberFormat="1" applyFont="1" applyFill="1" applyBorder="1" applyAlignment="1">
      <alignment horizontal="left" vertical="center" indent="1"/>
    </xf>
    <xf numFmtId="1" fontId="2" fillId="2" borderId="42" xfId="0" applyNumberFormat="1" applyFont="1" applyFill="1" applyBorder="1" applyAlignment="1">
      <alignment horizontal="left" vertical="center" indent="1"/>
    </xf>
    <xf numFmtId="1" fontId="2" fillId="2" borderId="36" xfId="0" applyNumberFormat="1" applyFont="1" applyFill="1" applyBorder="1" applyAlignment="1">
      <alignment horizontal="left" vertical="center" indent="1"/>
    </xf>
    <xf numFmtId="1" fontId="2" fillId="2" borderId="41" xfId="0" applyNumberFormat="1" applyFont="1" applyFill="1" applyBorder="1" applyAlignment="1">
      <alignment horizontal="left" vertical="center" indent="1"/>
    </xf>
    <xf numFmtId="164" fontId="9" fillId="2" borderId="38" xfId="0" applyNumberFormat="1" applyFont="1" applyFill="1" applyBorder="1" applyAlignment="1">
      <alignment horizontal="center" vertical="center"/>
    </xf>
    <xf numFmtId="164" fontId="9" fillId="2" borderId="25" xfId="0" applyNumberFormat="1" applyFont="1" applyFill="1" applyBorder="1" applyAlignment="1">
      <alignment horizontal="center" vertical="center"/>
    </xf>
    <xf numFmtId="164" fontId="9" fillId="2" borderId="40" xfId="0" applyNumberFormat="1" applyFont="1" applyFill="1" applyBorder="1" applyAlignment="1">
      <alignment horizontal="center" vertical="center"/>
    </xf>
    <xf numFmtId="164" fontId="9" fillId="2" borderId="43" xfId="0" applyNumberFormat="1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164" fontId="2" fillId="2" borderId="5" xfId="0" applyNumberFormat="1" applyFont="1" applyFill="1" applyBorder="1" applyAlignment="1">
      <alignment horizontal="center" vertical="center"/>
    </xf>
    <xf numFmtId="164" fontId="2" fillId="2" borderId="13" xfId="0" applyNumberFormat="1" applyFont="1" applyFill="1" applyBorder="1" applyAlignment="1">
      <alignment horizontal="center" vertical="center"/>
    </xf>
  </cellXfs>
  <cellStyles count="3">
    <cellStyle name="Normal" xfId="0" builtinId="0"/>
    <cellStyle name="Normal 2" xfId="2" xr:uid="{00000000-0005-0000-0000-000001000000}"/>
    <cellStyle name="Normal 3" xfId="1" xr:uid="{00000000-0005-0000-0000-000002000000}"/>
  </cellStyles>
  <dxfs count="0"/>
  <tableStyles count="0" defaultTableStyle="TableStyleMedium9" defaultPivotStyle="PivotStyleLight16"/>
  <colors>
    <mruColors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0796562149362433E-2"/>
          <c:y val="9.0566204610489226E-2"/>
          <c:w val="0.90855588091681749"/>
          <c:h val="0.75471837175407563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FF000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dLbl>
              <c:idx val="3"/>
              <c:layout>
                <c:manualLayout>
                  <c:x val="1.2389363988342518E-3"/>
                  <c:y val="-1.703117196822402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4E02-4756-95DD-974006F14736}"/>
                </c:ext>
              </c:extLst>
            </c:dLbl>
            <c:dLbl>
              <c:idx val="4"/>
              <c:layout>
                <c:manualLayout>
                  <c:x val="1.5339875067281821E-3"/>
                  <c:y val="1.6930876937063473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E02-4756-95DD-974006F14736}"/>
                </c:ext>
              </c:extLst>
            </c:dLbl>
            <c:dLbl>
              <c:idx val="6"/>
              <c:layout>
                <c:manualLayout>
                  <c:x val="3.5988632527270835E-3"/>
                  <c:y val="2.8251770565867657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4E02-4756-95DD-974006F14736}"/>
                </c:ext>
              </c:extLst>
            </c:dLbl>
            <c:dLbl>
              <c:idx val="10"/>
              <c:layout>
                <c:manualLayout>
                  <c:x val="6.1939065357725183E-4"/>
                  <c:y val="-5.8540973843810434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4E02-4756-95DD-974006F14736}"/>
                </c:ext>
              </c:extLst>
            </c:dLbl>
            <c:dLbl>
              <c:idx val="11"/>
              <c:layout>
                <c:manualLayout>
                  <c:x val="-5.6048661664055092E-4"/>
                  <c:y val="-6.2314565702580614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4E02-4756-95DD-974006F14736}"/>
                </c:ext>
              </c:extLst>
            </c:dLbl>
            <c:dLbl>
              <c:idx val="12"/>
              <c:layout>
                <c:manualLayout>
                  <c:x val="-4.6902206430817503E-3"/>
                  <c:y val="-6.6088157561350766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4E02-4756-95DD-974006F14736}"/>
                </c:ext>
              </c:extLst>
            </c:dLbl>
            <c:dLbl>
              <c:idx val="13"/>
              <c:layout>
                <c:manualLayout>
                  <c:x val="-2.9203960049768224E-3"/>
                  <c:y val="-5.8540973843810434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4E02-4756-95DD-974006F14736}"/>
                </c:ext>
              </c:extLst>
            </c:dLbl>
            <c:dLbl>
              <c:idx val="14"/>
              <c:layout>
                <c:manualLayout>
                  <c:x val="-4.1002732751946533E-3"/>
                  <c:y val="-5.0993790126269513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4E02-4756-95DD-974006F14736}"/>
                </c:ext>
              </c:extLst>
            </c:dLbl>
            <c:dLbl>
              <c:idx val="15"/>
              <c:layout>
                <c:manualLayout>
                  <c:x val="-3.8053770152012612E-3"/>
                  <c:y val="-4.7220198267498945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4E02-4756-95DD-974006F14736}"/>
                </c:ext>
              </c:extLst>
            </c:dLbl>
            <c:dLbl>
              <c:idx val="16"/>
              <c:layout>
                <c:manualLayout>
                  <c:x val="-2.0353975291956686E-3"/>
                  <c:y val="-6.2314565702580614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4E02-4756-95DD-974006F14736}"/>
                </c:ext>
              </c:extLst>
            </c:dLbl>
            <c:dLbl>
              <c:idx val="17"/>
              <c:layout>
                <c:manualLayout>
                  <c:x val="1.2095103349216204E-3"/>
                  <c:y val="-5.0993790126269513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4E02-4756-95DD-974006F14736}"/>
                </c:ext>
              </c:extLst>
            </c:dLbl>
            <c:dLbl>
              <c:idx val="18"/>
              <c:layout>
                <c:manualLayout>
                  <c:x val="-2.9203785394202289E-3"/>
                  <c:y val="-5.0993790126269513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4E02-4756-95DD-974006F14736}"/>
                </c:ext>
              </c:extLst>
            </c:dLbl>
            <c:dLbl>
              <c:idx val="19"/>
              <c:layout>
                <c:manualLayout>
                  <c:x val="-7.0501125658614314E-3"/>
                  <c:y val="-5.0993790126269513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4E02-4756-95DD-974006F14736}"/>
                </c:ext>
              </c:extLst>
            </c:dLbl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900" b="1" i="0" u="none" strike="noStrike" baseline="0">
                    <a:solidFill>
                      <a:srgbClr val="000000"/>
                    </a:solidFill>
                    <a:latin typeface="Tahoma"/>
                    <a:ea typeface="Tahoma"/>
                    <a:cs typeface="Tahoma"/>
                  </a:defRPr>
                </a:pPr>
                <a:endParaRPr lang="tr-T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ANA_SAYFA!$E$40:$X$40</c:f>
              <c:numCache>
                <c:formatCode>0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4E02-4756-95DD-974006F147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54125056"/>
        <c:axId val="154126976"/>
      </c:barChart>
      <c:catAx>
        <c:axId val="1541250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Tahoma"/>
                <a:ea typeface="Tahoma"/>
                <a:cs typeface="Tahoma"/>
              </a:defRPr>
            </a:pPr>
            <a:endParaRPr lang="tr-TR"/>
          </a:p>
        </c:txPr>
        <c:crossAx val="15412697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54126976"/>
        <c:scaling>
          <c:orientation val="minMax"/>
          <c:max val="100"/>
        </c:scaling>
        <c:delete val="0"/>
        <c:axPos val="l"/>
        <c:majorGridlines>
          <c:spPr>
            <a:ln w="3175">
              <a:solidFill>
                <a:srgbClr val="FFFFFF"/>
              </a:solidFill>
              <a:prstDash val="solid"/>
            </a:ln>
          </c:spPr>
        </c:majorGridlines>
        <c:numFmt formatCode="0" sourceLinked="1"/>
        <c:majorTickMark val="out"/>
        <c:minorTickMark val="none"/>
        <c:tickLblPos val="nextTo"/>
        <c:spPr>
          <a:ln w="127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Tahoma"/>
                <a:ea typeface="Tahoma"/>
                <a:cs typeface="Tahoma"/>
              </a:defRPr>
            </a:pPr>
            <a:endParaRPr lang="tr-TR"/>
          </a:p>
        </c:txPr>
        <c:crossAx val="154125056"/>
        <c:crosses val="autoZero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3175">
      <a:solidFill>
        <a:srgbClr val="000000"/>
      </a:solidFill>
      <a:prstDash val="solid"/>
    </a:ln>
  </c:spPr>
  <c:txPr>
    <a:bodyPr/>
    <a:lstStyle/>
    <a:p>
      <a:pPr>
        <a:defRPr sz="875" b="0" i="0" u="none" strike="noStrike" baseline="0">
          <a:solidFill>
            <a:srgbClr val="000000"/>
          </a:solidFill>
          <a:latin typeface="Arial Tur"/>
          <a:ea typeface="Arial Tur"/>
          <a:cs typeface="Arial Tur"/>
        </a:defRPr>
      </a:pPr>
      <a:endParaRPr lang="tr-TR"/>
    </a:p>
  </c:txPr>
  <c:printSettings>
    <c:headerFooter alignWithMargins="0"/>
    <c:pageMargins b="1" l="0.75000000000000289" r="0.75000000000000289" t="1" header="0.5" footer="0.5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hyperlink" Target="#ANA_SAYFA!D2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76200</xdr:colOff>
      <xdr:row>42</xdr:row>
      <xdr:rowOff>142875</xdr:rowOff>
    </xdr:from>
    <xdr:to>
      <xdr:col>25</xdr:col>
      <xdr:colOff>247650</xdr:colOff>
      <xdr:row>52</xdr:row>
      <xdr:rowOff>190500</xdr:rowOff>
    </xdr:to>
    <xdr:graphicFrame macro="">
      <xdr:nvGraphicFramePr>
        <xdr:cNvPr id="1077" name="Chart 44">
          <a:extLst>
            <a:ext uri="{FF2B5EF4-FFF2-40B4-BE49-F238E27FC236}">
              <a16:creationId xmlns:a16="http://schemas.microsoft.com/office/drawing/2014/main" id="{00000000-0008-0000-0000-0000350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23</xdr:col>
      <xdr:colOff>99060</xdr:colOff>
      <xdr:row>0</xdr:row>
      <xdr:rowOff>38100</xdr:rowOff>
    </xdr:from>
    <xdr:to>
      <xdr:col>26</xdr:col>
      <xdr:colOff>7620</xdr:colOff>
      <xdr:row>5</xdr:row>
      <xdr:rowOff>60960</xdr:rowOff>
    </xdr:to>
    <xdr:pic>
      <xdr:nvPicPr>
        <xdr:cNvPr id="4" name="Resim 3" descr="Özel Data Kent Eğitim Kurumları (@datakent_koleji) · Ankara">
          <a:extLst>
            <a:ext uri="{FF2B5EF4-FFF2-40B4-BE49-F238E27FC236}">
              <a16:creationId xmlns:a16="http://schemas.microsoft.com/office/drawing/2014/main" id="{359D2BE0-4354-4530-A726-94020FA240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33560" y="38100"/>
          <a:ext cx="1051560" cy="1051560"/>
        </a:xfrm>
        <a:prstGeom prst="rect">
          <a:avLst/>
        </a:prstGeom>
        <a:noFill/>
        <a:ln>
          <a:solidFill>
            <a:schemeClr val="tx1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504825</xdr:colOff>
      <xdr:row>5</xdr:row>
      <xdr:rowOff>152400</xdr:rowOff>
    </xdr:from>
    <xdr:to>
      <xdr:col>12</xdr:col>
      <xdr:colOff>419100</xdr:colOff>
      <xdr:row>26</xdr:row>
      <xdr:rowOff>152400</xdr:rowOff>
    </xdr:to>
    <xdr:sp macro="" textlink="">
      <xdr:nvSpPr>
        <xdr:cNvPr id="3073" name="Text Box 1">
          <a:extLst>
            <a:ext uri="{FF2B5EF4-FFF2-40B4-BE49-F238E27FC236}">
              <a16:creationId xmlns:a16="http://schemas.microsoft.com/office/drawing/2014/main" id="{00000000-0008-0000-0100-0000010C0000}"/>
            </a:ext>
          </a:extLst>
        </xdr:cNvPr>
        <xdr:cNvSpPr txBox="1">
          <a:spLocks noChangeArrowheads="1"/>
        </xdr:cNvSpPr>
      </xdr:nvSpPr>
      <xdr:spPr bwMode="auto">
        <a:xfrm>
          <a:off x="2333625" y="962025"/>
          <a:ext cx="5400675" cy="3400425"/>
        </a:xfrm>
        <a:prstGeom prst="rect">
          <a:avLst/>
        </a:prstGeom>
        <a:solidFill>
          <a:srgbClr val="9999FF"/>
        </a:solidFill>
        <a:ln w="38100" cmpd="dbl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0000" tIns="360000" rIns="360000" bIns="360000" anchor="t" upright="1"/>
        <a:lstStyle/>
        <a:p>
          <a:pPr algn="ctr" rtl="0">
            <a:defRPr sz="1000"/>
          </a:pPr>
          <a:r>
            <a:rPr lang="tr-TR" sz="1800" b="0" i="0" u="none" strike="noStrike" baseline="0">
              <a:solidFill>
                <a:srgbClr val="000000"/>
              </a:solidFill>
              <a:latin typeface="Tahoma"/>
              <a:ea typeface="Tahoma"/>
              <a:cs typeface="Tahoma"/>
            </a:rPr>
            <a:t>Programı hazırlayan:</a:t>
          </a:r>
        </a:p>
        <a:p>
          <a:pPr algn="ctr" rtl="0">
            <a:defRPr sz="1000"/>
          </a:pPr>
          <a:endParaRPr lang="tr-TR" sz="1800" b="0" i="0" u="none" strike="noStrike" baseline="0">
            <a:solidFill>
              <a:srgbClr val="000000"/>
            </a:solidFill>
            <a:latin typeface="Tahoma"/>
            <a:ea typeface="Tahoma"/>
            <a:cs typeface="Tahoma"/>
          </a:endParaRPr>
        </a:p>
        <a:p>
          <a:pPr algn="ctr" rtl="0">
            <a:defRPr sz="1000"/>
          </a:pPr>
          <a:r>
            <a:rPr lang="tr-TR" sz="1800" b="0" i="0" u="none" strike="noStrike" baseline="0">
              <a:solidFill>
                <a:srgbClr val="000000"/>
              </a:solidFill>
              <a:latin typeface="Tahoma"/>
              <a:ea typeface="Tahoma"/>
              <a:cs typeface="Tahoma"/>
            </a:rPr>
            <a:t>Önder BAŞARANHINCAL</a:t>
          </a:r>
        </a:p>
        <a:p>
          <a:pPr algn="ctr" rtl="0">
            <a:defRPr sz="1000"/>
          </a:pPr>
          <a:r>
            <a:rPr lang="tr-TR" sz="1800" b="0" i="0" u="none" strike="noStrike" baseline="0">
              <a:solidFill>
                <a:srgbClr val="000000"/>
              </a:solidFill>
              <a:latin typeface="Tahoma"/>
              <a:ea typeface="Tahoma"/>
              <a:cs typeface="Tahoma"/>
            </a:rPr>
            <a:t>Matematik Öğretmeni</a:t>
          </a:r>
        </a:p>
        <a:p>
          <a:pPr algn="ctr" rtl="0">
            <a:defRPr sz="1000"/>
          </a:pPr>
          <a:endParaRPr lang="tr-TR" sz="1800" b="0" i="0" u="none" strike="noStrike" baseline="0">
            <a:solidFill>
              <a:srgbClr val="000000"/>
            </a:solidFill>
            <a:latin typeface="Tahoma"/>
            <a:ea typeface="Tahoma"/>
            <a:cs typeface="Tahoma"/>
          </a:endParaRPr>
        </a:p>
        <a:p>
          <a:pPr algn="ctr" rtl="0">
            <a:defRPr sz="1000"/>
          </a:pPr>
          <a:r>
            <a:rPr lang="tr-TR" sz="1800" b="0" i="0" u="none" strike="noStrike" baseline="0">
              <a:solidFill>
                <a:srgbClr val="000000"/>
              </a:solidFill>
              <a:latin typeface="Tahoma"/>
              <a:ea typeface="Tahoma"/>
              <a:cs typeface="Tahoma"/>
            </a:rPr>
            <a:t>İnönü Anadolu Lisesi</a:t>
          </a:r>
        </a:p>
        <a:p>
          <a:pPr algn="ctr" rtl="0">
            <a:defRPr sz="1000"/>
          </a:pPr>
          <a:r>
            <a:rPr lang="tr-TR" sz="1800" b="0" i="0" u="none" strike="noStrike" baseline="0">
              <a:solidFill>
                <a:srgbClr val="000000"/>
              </a:solidFill>
              <a:latin typeface="Tahoma"/>
              <a:ea typeface="Tahoma"/>
              <a:cs typeface="Tahoma"/>
            </a:rPr>
            <a:t>ÇORUM</a:t>
          </a:r>
        </a:p>
        <a:p>
          <a:pPr algn="ctr" rtl="0">
            <a:defRPr sz="1000"/>
          </a:pPr>
          <a:endParaRPr lang="tr-TR" sz="1800" b="0" i="0" u="none" strike="noStrike" baseline="0">
            <a:solidFill>
              <a:srgbClr val="000000"/>
            </a:solidFill>
            <a:latin typeface="Tahoma"/>
            <a:ea typeface="Tahoma"/>
            <a:cs typeface="Tahoma"/>
          </a:endParaRPr>
        </a:p>
        <a:p>
          <a:pPr algn="ctr" rtl="0">
            <a:defRPr sz="1000"/>
          </a:pPr>
          <a:r>
            <a:rPr lang="tr-TR" sz="1800" b="0" i="0" u="none" strike="noStrike" baseline="0">
              <a:solidFill>
                <a:srgbClr val="000000"/>
              </a:solidFill>
              <a:latin typeface="Tahoma"/>
              <a:ea typeface="Tahoma"/>
              <a:cs typeface="Tahoma"/>
            </a:rPr>
            <a:t>onderbh@gmail.com</a:t>
          </a:r>
        </a:p>
      </xdr:txBody>
    </xdr:sp>
    <xdr:clientData/>
  </xdr:twoCellAnchor>
  <xdr:twoCellAnchor editAs="oneCell">
    <xdr:from>
      <xdr:col>13</xdr:col>
      <xdr:colOff>171450</xdr:colOff>
      <xdr:row>5</xdr:row>
      <xdr:rowOff>114300</xdr:rowOff>
    </xdr:from>
    <xdr:to>
      <xdr:col>15</xdr:col>
      <xdr:colOff>28575</xdr:colOff>
      <xdr:row>9</xdr:row>
      <xdr:rowOff>9525</xdr:rowOff>
    </xdr:to>
    <xdr:sp macro="" textlink="">
      <xdr:nvSpPr>
        <xdr:cNvPr id="3074" name="Text Box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100-0000020C0000}"/>
            </a:ext>
          </a:extLst>
        </xdr:cNvPr>
        <xdr:cNvSpPr txBox="1">
          <a:spLocks noChangeArrowheads="1"/>
        </xdr:cNvSpPr>
      </xdr:nvSpPr>
      <xdr:spPr bwMode="auto">
        <a:xfrm>
          <a:off x="8096250" y="923925"/>
          <a:ext cx="1076325" cy="542925"/>
        </a:xfrm>
        <a:prstGeom prst="rect">
          <a:avLst/>
        </a:prstGeom>
        <a:solidFill>
          <a:srgbClr val="9999FF"/>
        </a:solidFill>
        <a:ln w="38100" cmpd="dbl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tr-TR" sz="1000" b="1" i="0" u="none" strike="noStrike" baseline="0">
              <a:solidFill>
                <a:srgbClr val="FFFFFF"/>
              </a:solidFill>
              <a:latin typeface="Tahoma"/>
              <a:ea typeface="Tahoma"/>
              <a:cs typeface="Tahoma"/>
            </a:rPr>
            <a:t>ANA </a:t>
          </a:r>
        </a:p>
        <a:p>
          <a:pPr algn="ctr" rtl="0">
            <a:defRPr sz="1000"/>
          </a:pPr>
          <a:r>
            <a:rPr lang="tr-TR" sz="1000" b="1" i="0" u="none" strike="noStrike" baseline="0">
              <a:solidFill>
                <a:srgbClr val="FFFFFF"/>
              </a:solidFill>
              <a:latin typeface="Tahoma"/>
              <a:ea typeface="Tahoma"/>
              <a:cs typeface="Tahoma"/>
            </a:rPr>
            <a:t>SAYFA</a:t>
          </a:r>
        </a:p>
      </xdr:txBody>
    </xdr:sp>
    <xdr:clientData fPrintsWithSheet="0"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comments" Target="../comments1.xml"/><Relationship Id="rId4" Type="http://schemas.openxmlformats.org/officeDocument/2006/relationships/image" Target="../media/image1.png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68"/>
  <sheetViews>
    <sheetView tabSelected="1" showOutlineSymbols="0" zoomScale="85" zoomScaleNormal="85" workbookViewId="0">
      <selection activeCell="C9" sqref="C9:D21"/>
    </sheetView>
  </sheetViews>
  <sheetFormatPr defaultRowHeight="13.2" x14ac:dyDescent="0.25"/>
  <cols>
    <col min="1" max="1" width="2.5546875" customWidth="1"/>
    <col min="2" max="2" width="5.5546875" customWidth="1"/>
    <col min="3" max="3" width="6.6640625" customWidth="1"/>
    <col min="4" max="4" width="32.6640625" customWidth="1"/>
    <col min="5" max="24" width="4.6640625" customWidth="1"/>
    <col min="25" max="25" width="7.33203125" customWidth="1"/>
    <col min="26" max="26" width="4.6640625" customWidth="1"/>
  </cols>
  <sheetData>
    <row r="1" spans="2:26" ht="21" customHeight="1" x14ac:dyDescent="0.25">
      <c r="B1" s="48" t="s">
        <v>12</v>
      </c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  <c r="P1" s="48"/>
      <c r="Q1" s="48"/>
      <c r="R1" s="48"/>
      <c r="S1" s="48"/>
      <c r="T1" s="48"/>
      <c r="U1" s="48"/>
      <c r="V1" s="48"/>
      <c r="W1" s="48"/>
      <c r="X1" s="48"/>
      <c r="Y1" s="48"/>
      <c r="Z1" s="48"/>
    </row>
    <row r="2" spans="2:26" ht="15" customHeight="1" x14ac:dyDescent="0.25">
      <c r="B2" s="49" t="s">
        <v>13</v>
      </c>
      <c r="C2" s="49"/>
      <c r="D2" s="38" t="s">
        <v>34</v>
      </c>
      <c r="E2" s="24"/>
      <c r="F2" s="49" t="s">
        <v>17</v>
      </c>
      <c r="G2" s="49"/>
      <c r="H2" s="49"/>
      <c r="I2" s="49"/>
      <c r="J2" s="47"/>
      <c r="K2" s="47"/>
      <c r="L2" s="47"/>
      <c r="M2" s="47"/>
      <c r="N2" s="47"/>
      <c r="O2" s="47"/>
      <c r="P2" s="10"/>
      <c r="Q2" s="10"/>
      <c r="R2" s="10"/>
      <c r="T2" s="10"/>
      <c r="U2" s="10"/>
      <c r="V2" s="10"/>
      <c r="W2" s="10"/>
      <c r="X2" s="10"/>
      <c r="Y2" s="10"/>
      <c r="Z2" s="10"/>
    </row>
    <row r="3" spans="2:26" ht="15" customHeight="1" x14ac:dyDescent="0.25">
      <c r="B3" s="49" t="s">
        <v>14</v>
      </c>
      <c r="C3" s="49"/>
      <c r="D3" s="38" t="s">
        <v>35</v>
      </c>
      <c r="E3" s="24"/>
      <c r="F3" s="49" t="s">
        <v>18</v>
      </c>
      <c r="G3" s="49"/>
      <c r="H3" s="49"/>
      <c r="I3" s="49"/>
      <c r="J3" s="47"/>
      <c r="K3" s="47"/>
      <c r="L3" s="47"/>
      <c r="M3" s="47"/>
      <c r="N3" s="47"/>
      <c r="O3" s="47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spans="2:26" ht="15" customHeight="1" x14ac:dyDescent="0.25">
      <c r="B4" s="49" t="s">
        <v>15</v>
      </c>
      <c r="C4" s="49"/>
      <c r="D4" s="38"/>
      <c r="E4" s="24"/>
      <c r="F4" s="49" t="s">
        <v>19</v>
      </c>
      <c r="G4" s="49"/>
      <c r="H4" s="49"/>
      <c r="I4" s="49"/>
      <c r="J4" s="47"/>
      <c r="K4" s="47"/>
      <c r="L4" s="47"/>
      <c r="M4" s="47"/>
      <c r="N4" s="47"/>
      <c r="O4" s="47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spans="2:26" ht="15" customHeight="1" x14ac:dyDescent="0.25">
      <c r="B5" s="49" t="s">
        <v>16</v>
      </c>
      <c r="C5" s="49"/>
      <c r="D5" s="38"/>
      <c r="E5" s="24"/>
      <c r="F5" s="49" t="s">
        <v>20</v>
      </c>
      <c r="G5" s="49"/>
      <c r="H5" s="49"/>
      <c r="I5" s="49"/>
      <c r="J5" s="57"/>
      <c r="K5" s="47"/>
      <c r="L5" s="47"/>
      <c r="M5" s="47"/>
      <c r="N5" s="47"/>
      <c r="O5" s="47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spans="2:26" ht="7.5" customHeight="1" thickBot="1" x14ac:dyDescent="0.3"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spans="2:26" ht="24.9" customHeight="1" thickTop="1" x14ac:dyDescent="0.25">
      <c r="B7" s="70" t="s">
        <v>0</v>
      </c>
      <c r="C7" s="65"/>
      <c r="D7" s="66"/>
      <c r="E7" s="64" t="s">
        <v>1</v>
      </c>
      <c r="F7" s="65"/>
      <c r="G7" s="65"/>
      <c r="H7" s="65"/>
      <c r="I7" s="65"/>
      <c r="J7" s="65"/>
      <c r="K7" s="65"/>
      <c r="L7" s="65"/>
      <c r="M7" s="65"/>
      <c r="N7" s="65"/>
      <c r="O7" s="65"/>
      <c r="P7" s="65"/>
      <c r="Q7" s="65"/>
      <c r="R7" s="65"/>
      <c r="S7" s="65"/>
      <c r="T7" s="65"/>
      <c r="U7" s="65"/>
      <c r="V7" s="65"/>
      <c r="W7" s="65"/>
      <c r="X7" s="66"/>
      <c r="Y7" s="25" t="s">
        <v>2</v>
      </c>
      <c r="Z7" s="67" t="s">
        <v>3</v>
      </c>
    </row>
    <row r="8" spans="2:26" ht="24.9" customHeight="1" x14ac:dyDescent="0.25">
      <c r="B8" s="1" t="s">
        <v>4</v>
      </c>
      <c r="C8" s="2" t="s">
        <v>5</v>
      </c>
      <c r="D8" s="2" t="s">
        <v>6</v>
      </c>
      <c r="E8" s="3">
        <v>1</v>
      </c>
      <c r="F8" s="3">
        <v>2</v>
      </c>
      <c r="G8" s="3">
        <v>3</v>
      </c>
      <c r="H8" s="3">
        <v>4</v>
      </c>
      <c r="I8" s="3">
        <v>5</v>
      </c>
      <c r="J8" s="3">
        <v>6</v>
      </c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4" t="s">
        <v>7</v>
      </c>
      <c r="Z8" s="68"/>
    </row>
    <row r="9" spans="2:26" ht="18" customHeight="1" x14ac:dyDescent="0.25">
      <c r="B9" s="28">
        <v>1</v>
      </c>
      <c r="C9" s="30"/>
      <c r="D9" s="31"/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20"/>
      <c r="Q9" s="20"/>
      <c r="R9" s="20"/>
      <c r="S9" s="20"/>
      <c r="T9" s="20"/>
      <c r="U9" s="20"/>
      <c r="V9" s="20"/>
      <c r="W9" s="20"/>
      <c r="X9" s="20"/>
      <c r="Y9" s="22"/>
      <c r="Z9" s="17"/>
    </row>
    <row r="10" spans="2:26" ht="18" customHeight="1" x14ac:dyDescent="0.25">
      <c r="B10" s="28">
        <v>2</v>
      </c>
      <c r="C10" s="30"/>
      <c r="D10" s="31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20"/>
      <c r="Q10" s="20"/>
      <c r="R10" s="20"/>
      <c r="S10" s="20"/>
      <c r="T10" s="20"/>
      <c r="U10" s="20"/>
      <c r="V10" s="20"/>
      <c r="W10" s="20"/>
      <c r="X10" s="20"/>
      <c r="Y10" s="22"/>
      <c r="Z10" s="17"/>
    </row>
    <row r="11" spans="2:26" ht="18" customHeight="1" x14ac:dyDescent="0.25">
      <c r="B11" s="28">
        <v>3</v>
      </c>
      <c r="C11" s="32"/>
      <c r="D11" s="33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20"/>
      <c r="Q11" s="20"/>
      <c r="R11" s="20"/>
      <c r="S11" s="20"/>
      <c r="T11" s="20"/>
      <c r="U11" s="20"/>
      <c r="V11" s="20"/>
      <c r="W11" s="20"/>
      <c r="X11" s="20"/>
      <c r="Y11" s="22"/>
      <c r="Z11" s="17"/>
    </row>
    <row r="12" spans="2:26" ht="18" customHeight="1" x14ac:dyDescent="0.25">
      <c r="B12" s="28">
        <v>4</v>
      </c>
      <c r="C12" s="30"/>
      <c r="D12" s="31"/>
      <c r="E12" s="36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20"/>
      <c r="Q12" s="20"/>
      <c r="R12" s="20"/>
      <c r="S12" s="20"/>
      <c r="T12" s="20"/>
      <c r="U12" s="20"/>
      <c r="V12" s="20"/>
      <c r="W12" s="20"/>
      <c r="X12" s="20"/>
      <c r="Y12" s="22"/>
      <c r="Z12" s="17"/>
    </row>
    <row r="13" spans="2:26" ht="18" customHeight="1" x14ac:dyDescent="0.25">
      <c r="B13" s="28">
        <v>5</v>
      </c>
      <c r="C13" s="30"/>
      <c r="D13" s="31"/>
      <c r="E13" s="36"/>
      <c r="F13" s="36"/>
      <c r="G13" s="36"/>
      <c r="H13" s="36"/>
      <c r="I13" s="36"/>
      <c r="J13" s="36"/>
      <c r="K13" s="36"/>
      <c r="L13" s="36"/>
      <c r="M13" s="36"/>
      <c r="N13" s="36"/>
      <c r="O13" s="36"/>
      <c r="P13" s="20"/>
      <c r="Q13" s="20"/>
      <c r="R13" s="20"/>
      <c r="S13" s="20"/>
      <c r="T13" s="20"/>
      <c r="U13" s="20"/>
      <c r="V13" s="20"/>
      <c r="W13" s="20"/>
      <c r="X13" s="20"/>
      <c r="Y13" s="22"/>
      <c r="Z13" s="17"/>
    </row>
    <row r="14" spans="2:26" ht="18" customHeight="1" x14ac:dyDescent="0.25">
      <c r="B14" s="28">
        <v>6</v>
      </c>
      <c r="C14" s="30"/>
      <c r="D14" s="31"/>
      <c r="E14" s="36"/>
      <c r="F14" s="36"/>
      <c r="G14" s="36"/>
      <c r="H14" s="36"/>
      <c r="I14" s="36"/>
      <c r="J14" s="36"/>
      <c r="K14" s="36"/>
      <c r="L14" s="36"/>
      <c r="M14" s="36"/>
      <c r="N14" s="36"/>
      <c r="O14" s="36"/>
      <c r="P14" s="20"/>
      <c r="Q14" s="20"/>
      <c r="R14" s="20"/>
      <c r="S14" s="20"/>
      <c r="T14" s="20"/>
      <c r="U14" s="20"/>
      <c r="V14" s="20"/>
      <c r="W14" s="20"/>
      <c r="X14" s="20"/>
      <c r="Y14" s="22"/>
      <c r="Z14" s="17"/>
    </row>
    <row r="15" spans="2:26" ht="18" customHeight="1" x14ac:dyDescent="0.25">
      <c r="B15" s="28">
        <v>7</v>
      </c>
      <c r="C15" s="30"/>
      <c r="D15" s="31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20"/>
      <c r="Q15" s="20"/>
      <c r="R15" s="20"/>
      <c r="S15" s="20"/>
      <c r="T15" s="20"/>
      <c r="U15" s="20"/>
      <c r="V15" s="20"/>
      <c r="W15" s="20"/>
      <c r="X15" s="20"/>
      <c r="Y15" s="22"/>
      <c r="Z15" s="17"/>
    </row>
    <row r="16" spans="2:26" ht="18" customHeight="1" x14ac:dyDescent="0.25">
      <c r="B16" s="28">
        <v>8</v>
      </c>
      <c r="C16" s="30"/>
      <c r="D16" s="31"/>
      <c r="E16" s="36"/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20"/>
      <c r="Q16" s="20"/>
      <c r="R16" s="20"/>
      <c r="S16" s="20"/>
      <c r="T16" s="20"/>
      <c r="U16" s="20"/>
      <c r="V16" s="20"/>
      <c r="W16" s="20"/>
      <c r="X16" s="20"/>
      <c r="Y16" s="22"/>
      <c r="Z16" s="17"/>
    </row>
    <row r="17" spans="2:26" ht="18" customHeight="1" x14ac:dyDescent="0.25">
      <c r="B17" s="28">
        <v>9</v>
      </c>
      <c r="C17" s="30"/>
      <c r="D17" s="31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20"/>
      <c r="Q17" s="20"/>
      <c r="R17" s="20"/>
      <c r="S17" s="20"/>
      <c r="T17" s="20"/>
      <c r="U17" s="20"/>
      <c r="V17" s="20"/>
      <c r="W17" s="20"/>
      <c r="X17" s="20"/>
      <c r="Y17" s="22"/>
      <c r="Z17" s="17"/>
    </row>
    <row r="18" spans="2:26" ht="18" customHeight="1" x14ac:dyDescent="0.25">
      <c r="B18" s="28">
        <v>10</v>
      </c>
      <c r="C18" s="30"/>
      <c r="D18" s="34"/>
      <c r="E18" s="36"/>
      <c r="F18" s="36"/>
      <c r="G18" s="36"/>
      <c r="H18" s="36"/>
      <c r="I18" s="36"/>
      <c r="J18" s="36"/>
      <c r="K18" s="36"/>
      <c r="L18" s="36"/>
      <c r="M18" s="36"/>
      <c r="N18" s="36"/>
      <c r="O18" s="36"/>
      <c r="P18" s="20"/>
      <c r="Q18" s="20"/>
      <c r="R18" s="20"/>
      <c r="S18" s="20"/>
      <c r="T18" s="20"/>
      <c r="U18" s="20"/>
      <c r="V18" s="20"/>
      <c r="W18" s="20"/>
      <c r="X18" s="20"/>
      <c r="Y18" s="22"/>
      <c r="Z18" s="17"/>
    </row>
    <row r="19" spans="2:26" ht="18" customHeight="1" x14ac:dyDescent="0.25">
      <c r="B19" s="28">
        <v>11</v>
      </c>
      <c r="C19" s="30"/>
      <c r="D19" s="34"/>
      <c r="E19" s="36"/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20"/>
      <c r="Q19" s="20"/>
      <c r="R19" s="20"/>
      <c r="S19" s="20"/>
      <c r="T19" s="20"/>
      <c r="U19" s="20"/>
      <c r="V19" s="20"/>
      <c r="W19" s="20"/>
      <c r="X19" s="20"/>
      <c r="Y19" s="22"/>
      <c r="Z19" s="17"/>
    </row>
    <row r="20" spans="2:26" ht="18" customHeight="1" x14ac:dyDescent="0.25">
      <c r="B20" s="28">
        <v>12</v>
      </c>
      <c r="C20" s="30"/>
      <c r="D20" s="34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20"/>
      <c r="Q20" s="20"/>
      <c r="R20" s="20"/>
      <c r="S20" s="20"/>
      <c r="T20" s="20"/>
      <c r="U20" s="20"/>
      <c r="V20" s="20"/>
      <c r="W20" s="20"/>
      <c r="X20" s="20"/>
      <c r="Y20" s="22"/>
      <c r="Z20" s="37"/>
    </row>
    <row r="21" spans="2:26" ht="18" customHeight="1" x14ac:dyDescent="0.25">
      <c r="B21" s="28">
        <v>13</v>
      </c>
      <c r="C21" s="30"/>
      <c r="D21" s="34"/>
      <c r="E21" s="36"/>
      <c r="F21" s="36"/>
      <c r="G21" s="36"/>
      <c r="H21" s="36"/>
      <c r="I21" s="36"/>
      <c r="J21" s="36"/>
      <c r="K21" s="36"/>
      <c r="L21" s="36"/>
      <c r="M21" s="36"/>
      <c r="N21" s="36"/>
      <c r="O21" s="36"/>
      <c r="P21" s="20"/>
      <c r="Q21" s="20"/>
      <c r="R21" s="20"/>
      <c r="S21" s="20"/>
      <c r="T21" s="20"/>
      <c r="U21" s="20"/>
      <c r="V21" s="20"/>
      <c r="W21" s="20"/>
      <c r="X21" s="20"/>
      <c r="Y21" s="22"/>
      <c r="Z21" s="17"/>
    </row>
    <row r="22" spans="2:26" ht="18" customHeight="1" x14ac:dyDescent="0.25">
      <c r="B22" s="28">
        <v>14</v>
      </c>
      <c r="C22" s="30"/>
      <c r="D22" s="34"/>
      <c r="E22" s="36"/>
      <c r="F22" s="36"/>
      <c r="G22" s="36"/>
      <c r="H22" s="36"/>
      <c r="I22" s="36"/>
      <c r="J22" s="36"/>
      <c r="K22" s="36"/>
      <c r="L22" s="36"/>
      <c r="M22" s="36"/>
      <c r="N22" s="36"/>
      <c r="O22" s="36"/>
      <c r="P22" s="20"/>
      <c r="Q22" s="20"/>
      <c r="R22" s="20"/>
      <c r="S22" s="20"/>
      <c r="T22" s="20"/>
      <c r="U22" s="20"/>
      <c r="V22" s="20"/>
      <c r="W22" s="20"/>
      <c r="X22" s="20"/>
      <c r="Y22" s="22" t="str">
        <f t="shared" ref="Y22:Y39" si="0">IF(Z22="X","",IF(D22=0,"",SUM(E22:X22)))</f>
        <v/>
      </c>
      <c r="Z22" s="17"/>
    </row>
    <row r="23" spans="2:26" ht="18" customHeight="1" x14ac:dyDescent="0.25">
      <c r="B23" s="28">
        <v>15</v>
      </c>
      <c r="C23" s="30"/>
      <c r="D23" s="34"/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20"/>
      <c r="Q23" s="20"/>
      <c r="R23" s="20"/>
      <c r="S23" s="20"/>
      <c r="T23" s="20"/>
      <c r="U23" s="20"/>
      <c r="V23" s="20"/>
      <c r="W23" s="20"/>
      <c r="X23" s="20"/>
      <c r="Y23" s="22" t="str">
        <f t="shared" si="0"/>
        <v/>
      </c>
      <c r="Z23" s="17"/>
    </row>
    <row r="24" spans="2:26" ht="18" customHeight="1" x14ac:dyDescent="0.25">
      <c r="B24" s="28">
        <v>16</v>
      </c>
      <c r="C24" s="30"/>
      <c r="D24" s="34"/>
      <c r="E24" s="36"/>
      <c r="F24" s="36"/>
      <c r="G24" s="36"/>
      <c r="H24" s="36"/>
      <c r="I24" s="36"/>
      <c r="J24" s="36"/>
      <c r="K24" s="36"/>
      <c r="L24" s="36"/>
      <c r="M24" s="36"/>
      <c r="N24" s="36"/>
      <c r="O24" s="36"/>
      <c r="P24" s="20"/>
      <c r="Q24" s="20"/>
      <c r="R24" s="20"/>
      <c r="S24" s="20"/>
      <c r="T24" s="20"/>
      <c r="U24" s="20"/>
      <c r="V24" s="20"/>
      <c r="W24" s="20"/>
      <c r="X24" s="20"/>
      <c r="Y24" s="22" t="str">
        <f t="shared" si="0"/>
        <v/>
      </c>
      <c r="Z24" s="17"/>
    </row>
    <row r="25" spans="2:26" ht="18" customHeight="1" x14ac:dyDescent="0.25">
      <c r="B25" s="28">
        <v>17</v>
      </c>
      <c r="C25" s="35"/>
      <c r="D25" s="31"/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20"/>
      <c r="Q25" s="20"/>
      <c r="R25" s="20"/>
      <c r="S25" s="20"/>
      <c r="T25" s="20"/>
      <c r="U25" s="20"/>
      <c r="V25" s="20"/>
      <c r="W25" s="20"/>
      <c r="X25" s="20"/>
      <c r="Y25" s="22" t="str">
        <f t="shared" si="0"/>
        <v/>
      </c>
      <c r="Z25" s="29"/>
    </row>
    <row r="26" spans="2:26" ht="18" customHeight="1" x14ac:dyDescent="0.25">
      <c r="B26" s="28">
        <v>18</v>
      </c>
      <c r="C26" s="35"/>
      <c r="D26" s="31"/>
      <c r="E26" s="36"/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20"/>
      <c r="Q26" s="20"/>
      <c r="R26" s="20"/>
      <c r="S26" s="20"/>
      <c r="T26" s="20"/>
      <c r="U26" s="20"/>
      <c r="V26" s="20"/>
      <c r="W26" s="20"/>
      <c r="X26" s="20"/>
      <c r="Y26" s="22" t="str">
        <f t="shared" si="0"/>
        <v/>
      </c>
      <c r="Z26" s="17"/>
    </row>
    <row r="27" spans="2:26" ht="18" customHeight="1" x14ac:dyDescent="0.25">
      <c r="B27" s="28">
        <v>19</v>
      </c>
      <c r="C27" s="35"/>
      <c r="D27" s="31"/>
      <c r="E27" s="36"/>
      <c r="F27" s="36"/>
      <c r="G27" s="36"/>
      <c r="H27" s="36"/>
      <c r="I27" s="36"/>
      <c r="J27" s="36"/>
      <c r="K27" s="36"/>
      <c r="L27" s="36"/>
      <c r="M27" s="36"/>
      <c r="N27" s="36"/>
      <c r="O27" s="36"/>
      <c r="P27" s="20"/>
      <c r="Q27" s="20"/>
      <c r="R27" s="20"/>
      <c r="S27" s="20"/>
      <c r="T27" s="20"/>
      <c r="U27" s="20"/>
      <c r="V27" s="20"/>
      <c r="W27" s="20"/>
      <c r="X27" s="20"/>
      <c r="Y27" s="22" t="str">
        <f t="shared" si="0"/>
        <v/>
      </c>
      <c r="Z27" s="29"/>
    </row>
    <row r="28" spans="2:26" ht="18" customHeight="1" x14ac:dyDescent="0.25">
      <c r="B28" s="28">
        <v>20</v>
      </c>
      <c r="C28" s="35"/>
      <c r="D28" s="31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20"/>
      <c r="Q28" s="20"/>
      <c r="R28" s="20"/>
      <c r="S28" s="20"/>
      <c r="T28" s="20"/>
      <c r="U28" s="20"/>
      <c r="V28" s="20"/>
      <c r="W28" s="20"/>
      <c r="X28" s="20"/>
      <c r="Y28" s="22" t="str">
        <f t="shared" si="0"/>
        <v/>
      </c>
      <c r="Z28" s="17"/>
    </row>
    <row r="29" spans="2:26" ht="18" customHeight="1" x14ac:dyDescent="0.25">
      <c r="B29" s="28">
        <v>21</v>
      </c>
      <c r="C29" s="35"/>
      <c r="D29" s="31"/>
      <c r="E29" s="36"/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20"/>
      <c r="Q29" s="20"/>
      <c r="R29" s="20"/>
      <c r="S29" s="20"/>
      <c r="T29" s="20"/>
      <c r="U29" s="20"/>
      <c r="V29" s="20"/>
      <c r="W29" s="20"/>
      <c r="X29" s="20"/>
      <c r="Y29" s="22" t="str">
        <f t="shared" si="0"/>
        <v/>
      </c>
      <c r="Z29" s="17"/>
    </row>
    <row r="30" spans="2:26" ht="18" customHeight="1" x14ac:dyDescent="0.25">
      <c r="B30" s="28">
        <v>22</v>
      </c>
      <c r="C30" s="35"/>
      <c r="D30" s="31"/>
      <c r="E30" s="36"/>
      <c r="F30" s="36"/>
      <c r="G30" s="36"/>
      <c r="H30" s="36"/>
      <c r="I30" s="36"/>
      <c r="J30" s="36"/>
      <c r="K30" s="36"/>
      <c r="L30" s="36"/>
      <c r="M30" s="36"/>
      <c r="N30" s="36"/>
      <c r="O30" s="36"/>
      <c r="P30" s="20"/>
      <c r="Q30" s="20"/>
      <c r="R30" s="20"/>
      <c r="S30" s="20"/>
      <c r="T30" s="20"/>
      <c r="U30" s="20"/>
      <c r="V30" s="20"/>
      <c r="W30" s="20"/>
      <c r="X30" s="20"/>
      <c r="Y30" s="22" t="str">
        <f t="shared" si="0"/>
        <v/>
      </c>
      <c r="Z30" s="17"/>
    </row>
    <row r="31" spans="2:26" ht="18" customHeight="1" x14ac:dyDescent="0.25">
      <c r="B31" s="28">
        <v>23</v>
      </c>
      <c r="C31" s="35"/>
      <c r="D31" s="34"/>
      <c r="E31" s="36"/>
      <c r="F31" s="36"/>
      <c r="G31" s="36"/>
      <c r="H31" s="36"/>
      <c r="I31" s="36"/>
      <c r="J31" s="36"/>
      <c r="K31" s="36"/>
      <c r="L31" s="36"/>
      <c r="M31" s="36"/>
      <c r="N31" s="36"/>
      <c r="O31" s="36"/>
      <c r="P31" s="20"/>
      <c r="Q31" s="20"/>
      <c r="R31" s="20"/>
      <c r="S31" s="20"/>
      <c r="T31" s="20"/>
      <c r="U31" s="20"/>
      <c r="V31" s="20"/>
      <c r="W31" s="20"/>
      <c r="X31" s="20"/>
      <c r="Y31" s="22" t="str">
        <f t="shared" si="0"/>
        <v/>
      </c>
      <c r="Z31" s="17"/>
    </row>
    <row r="32" spans="2:26" ht="18" customHeight="1" x14ac:dyDescent="0.25">
      <c r="B32" s="28">
        <v>24</v>
      </c>
      <c r="C32" s="35"/>
      <c r="D32" s="34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20"/>
      <c r="Q32" s="20"/>
      <c r="R32" s="20"/>
      <c r="S32" s="20"/>
      <c r="T32" s="20"/>
      <c r="U32" s="20"/>
      <c r="V32" s="20"/>
      <c r="W32" s="20"/>
      <c r="X32" s="20"/>
      <c r="Y32" s="22" t="str">
        <f t="shared" si="0"/>
        <v/>
      </c>
      <c r="Z32" s="17"/>
    </row>
    <row r="33" spans="1:26" ht="18" customHeight="1" x14ac:dyDescent="0.25">
      <c r="B33" s="28">
        <v>25</v>
      </c>
      <c r="C33" s="35"/>
      <c r="D33" s="34"/>
      <c r="E33" s="36"/>
      <c r="F33" s="36"/>
      <c r="G33" s="36"/>
      <c r="H33" s="36"/>
      <c r="I33" s="36"/>
      <c r="J33" s="36"/>
      <c r="K33" s="36"/>
      <c r="L33" s="36"/>
      <c r="M33" s="36"/>
      <c r="N33" s="36"/>
      <c r="O33" s="36"/>
      <c r="P33" s="20"/>
      <c r="Q33" s="20"/>
      <c r="R33" s="20"/>
      <c r="S33" s="20"/>
      <c r="T33" s="20"/>
      <c r="U33" s="20"/>
      <c r="V33" s="20"/>
      <c r="W33" s="20"/>
      <c r="X33" s="20"/>
      <c r="Y33" s="22" t="str">
        <f t="shared" si="0"/>
        <v/>
      </c>
      <c r="Z33" s="17"/>
    </row>
    <row r="34" spans="1:26" ht="18" customHeight="1" x14ac:dyDescent="0.25">
      <c r="B34" s="28">
        <v>26</v>
      </c>
      <c r="C34" s="35"/>
      <c r="D34" s="34"/>
      <c r="E34" s="36"/>
      <c r="F34" s="36"/>
      <c r="G34" s="36"/>
      <c r="H34" s="36"/>
      <c r="I34" s="36"/>
      <c r="J34" s="36"/>
      <c r="K34" s="36"/>
      <c r="L34" s="36"/>
      <c r="M34" s="36"/>
      <c r="N34" s="36"/>
      <c r="O34" s="36"/>
      <c r="P34" s="20"/>
      <c r="Q34" s="20"/>
      <c r="R34" s="20"/>
      <c r="S34" s="20"/>
      <c r="T34" s="20"/>
      <c r="U34" s="20"/>
      <c r="V34" s="20"/>
      <c r="W34" s="20"/>
      <c r="X34" s="20"/>
      <c r="Y34" s="22" t="str">
        <f t="shared" si="0"/>
        <v/>
      </c>
      <c r="Z34" s="17"/>
    </row>
    <row r="35" spans="1:26" ht="18" customHeight="1" x14ac:dyDescent="0.25">
      <c r="B35" s="28">
        <v>27</v>
      </c>
      <c r="C35" s="35"/>
      <c r="D35" s="34"/>
      <c r="E35" s="36"/>
      <c r="F35" s="36"/>
      <c r="G35" s="36"/>
      <c r="H35" s="36"/>
      <c r="I35" s="36"/>
      <c r="J35" s="36"/>
      <c r="K35" s="36"/>
      <c r="L35" s="36"/>
      <c r="M35" s="36"/>
      <c r="N35" s="36"/>
      <c r="O35" s="36"/>
      <c r="P35" s="20"/>
      <c r="Q35" s="20"/>
      <c r="R35" s="20"/>
      <c r="S35" s="20"/>
      <c r="T35" s="20"/>
      <c r="U35" s="20"/>
      <c r="V35" s="20"/>
      <c r="W35" s="20"/>
      <c r="X35" s="20"/>
      <c r="Y35" s="22" t="str">
        <f t="shared" si="0"/>
        <v/>
      </c>
      <c r="Z35" s="17"/>
    </row>
    <row r="36" spans="1:26" ht="18" customHeight="1" x14ac:dyDescent="0.25">
      <c r="B36" s="28">
        <v>28</v>
      </c>
      <c r="C36" s="35"/>
      <c r="D36" s="34"/>
      <c r="E36" s="36"/>
      <c r="F36" s="36"/>
      <c r="G36" s="36"/>
      <c r="H36" s="36"/>
      <c r="I36" s="36"/>
      <c r="J36" s="36"/>
      <c r="K36" s="36"/>
      <c r="L36" s="36"/>
      <c r="M36" s="36"/>
      <c r="N36" s="36"/>
      <c r="O36" s="36"/>
      <c r="P36" s="20"/>
      <c r="Q36" s="20"/>
      <c r="R36" s="20"/>
      <c r="S36" s="20"/>
      <c r="T36" s="20"/>
      <c r="U36" s="20"/>
      <c r="V36" s="20"/>
      <c r="W36" s="20"/>
      <c r="X36" s="20"/>
      <c r="Y36" s="22" t="str">
        <f t="shared" si="0"/>
        <v/>
      </c>
      <c r="Z36" s="17"/>
    </row>
    <row r="37" spans="1:26" ht="18" customHeight="1" x14ac:dyDescent="0.25">
      <c r="B37" s="28"/>
      <c r="C37" s="35"/>
      <c r="D37" s="34"/>
      <c r="E37" s="36"/>
      <c r="F37" s="36"/>
      <c r="G37" s="36"/>
      <c r="H37" s="36"/>
      <c r="I37" s="36"/>
      <c r="J37" s="36"/>
      <c r="K37" s="36"/>
      <c r="L37" s="36"/>
      <c r="M37" s="36"/>
      <c r="N37" s="36"/>
      <c r="O37" s="36"/>
      <c r="P37" s="20"/>
      <c r="Q37" s="20"/>
      <c r="R37" s="20"/>
      <c r="S37" s="20"/>
      <c r="T37" s="20"/>
      <c r="U37" s="20"/>
      <c r="V37" s="20"/>
      <c r="W37" s="20"/>
      <c r="X37" s="20"/>
      <c r="Y37" s="22" t="str">
        <f t="shared" si="0"/>
        <v/>
      </c>
      <c r="Z37" s="17"/>
    </row>
    <row r="38" spans="1:26" ht="18" customHeight="1" x14ac:dyDescent="0.25">
      <c r="B38" s="28"/>
      <c r="C38" s="35"/>
      <c r="D38" s="34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20"/>
      <c r="Q38" s="20"/>
      <c r="R38" s="20"/>
      <c r="S38" s="20"/>
      <c r="T38" s="20"/>
      <c r="U38" s="20"/>
      <c r="V38" s="20"/>
      <c r="W38" s="20"/>
      <c r="X38" s="20"/>
      <c r="Y38" s="22" t="str">
        <f t="shared" si="0"/>
        <v/>
      </c>
      <c r="Z38" s="17"/>
    </row>
    <row r="39" spans="1:26" ht="18" customHeight="1" thickBot="1" x14ac:dyDescent="0.3">
      <c r="B39" s="5"/>
      <c r="C39" s="18"/>
      <c r="D39" s="19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2" t="str">
        <f t="shared" si="0"/>
        <v/>
      </c>
      <c r="Z39" s="21"/>
    </row>
    <row r="40" spans="1:26" ht="27.75" customHeight="1" thickTop="1" thickBot="1" x14ac:dyDescent="0.3">
      <c r="B40" s="71" t="s">
        <v>8</v>
      </c>
      <c r="C40" s="72"/>
      <c r="D40" s="73"/>
      <c r="E40" s="6" t="str">
        <f>IF(E43=0," ",((SUM(E9:E39)/COUNT(E9:E39))*100)/E43)</f>
        <v xml:space="preserve"> </v>
      </c>
      <c r="F40" s="6" t="str">
        <f>IF(E44=0," ",((SUM(F9:F39)/COUNT(F9:F39))*100)/E44)</f>
        <v xml:space="preserve"> </v>
      </c>
      <c r="G40" s="6" t="str">
        <f>IF(E45=0," ",((SUM(G9:G39)/COUNT(G9:G39))*100)/E45)</f>
        <v xml:space="preserve"> </v>
      </c>
      <c r="H40" s="6" t="str">
        <f>IF(E46=0," ",((SUM(H9:H39)/COUNT(H9:H39))*100)/E46)</f>
        <v xml:space="preserve"> </v>
      </c>
      <c r="I40" s="6" t="str">
        <f>IF(E47=0," ",((SUM(I9:I39)/COUNT(I9:I39))*100)/E47)</f>
        <v xml:space="preserve"> </v>
      </c>
      <c r="J40" s="6" t="str">
        <f>IF(E48=0," ",((SUM(J9:J39)/COUNT(J9:J39))*100)/E48)</f>
        <v xml:space="preserve"> </v>
      </c>
      <c r="K40" s="6" t="str">
        <f>IF(E49=0," ",((SUM(K9:K39)/COUNT(K9:K39))*100)/E49)</f>
        <v xml:space="preserve"> </v>
      </c>
      <c r="L40" s="6" t="str">
        <f>IF(E50=0," ",((SUM(L9:L39)/COUNT(L9:L39))*100)/E50)</f>
        <v xml:space="preserve"> </v>
      </c>
      <c r="M40" s="6" t="str">
        <f>IF(E51=0," ",((SUM(M9:M39)/COUNT(M9:M39))*100)/E51)</f>
        <v xml:space="preserve"> </v>
      </c>
      <c r="N40" s="6" t="str">
        <f>IF(E52=0," ",((SUM(N9:N39)/COUNT(N9:N39))*100)/E52)</f>
        <v xml:space="preserve"> </v>
      </c>
      <c r="O40" s="6" t="str">
        <f>IF(E53=0," ",((SUM(O9:O39)/COUNT(O9:O39))*100)/E53)</f>
        <v xml:space="preserve"> </v>
      </c>
      <c r="P40" s="6" t="str">
        <f>IF(E54=0," ",((SUM(P9:P39)/COUNT(P9:P39))*100)/E54)</f>
        <v xml:space="preserve"> </v>
      </c>
      <c r="Q40" s="6" t="str">
        <f>IF(E55=0," ",((SUM(Q9:Q39)/COUNT(Q9:Q39))*100)/E55)</f>
        <v xml:space="preserve"> </v>
      </c>
      <c r="R40" s="6" t="str">
        <f>IF(E56=0," ",((SUM(R9:R39)/COUNT(R9:R39))*100)/E56)</f>
        <v xml:space="preserve"> </v>
      </c>
      <c r="S40" s="6" t="str">
        <f>IF(E57=0," ",((SUM(S9:S39)/COUNT(S9:S39))*100)/E57)</f>
        <v xml:space="preserve"> </v>
      </c>
      <c r="T40" s="6" t="str">
        <f>IF(E58=0," ",((SUM(T9:T39)/COUNT(T9:T39))*100)/E58)</f>
        <v xml:space="preserve"> </v>
      </c>
      <c r="U40" s="6" t="str">
        <f>IF(E59=0," ",((SUM(U9:U39)/COUNT(U9:U39))*100)/E59)</f>
        <v xml:space="preserve"> </v>
      </c>
      <c r="V40" s="6" t="str">
        <f>IF(E60=0," ",((SUM(V9:V39)/COUNT(V9:V39))*100)/E60)</f>
        <v xml:space="preserve"> </v>
      </c>
      <c r="W40" s="6" t="str">
        <f>IF(E61=0," ",((SUM(W9:W39)/COUNT(W9:W39))*100)/E61)</f>
        <v xml:space="preserve"> </v>
      </c>
      <c r="X40" s="7" t="str">
        <f>IF(E62=0," ",((SUM(X9:X39)/COUNT(X9:X39))*100)/E62)</f>
        <v xml:space="preserve"> </v>
      </c>
      <c r="Y40" s="8"/>
      <c r="Z40" s="9"/>
    </row>
    <row r="41" spans="1:26" ht="18" customHeight="1" thickTop="1" thickBot="1" x14ac:dyDescent="0.3"/>
    <row r="42" spans="1:26" ht="27.6" customHeight="1" thickTop="1" x14ac:dyDescent="0.25">
      <c r="A42" s="75" t="s">
        <v>22</v>
      </c>
      <c r="B42" s="76"/>
      <c r="C42" s="76"/>
      <c r="D42" s="77"/>
      <c r="E42" s="40" t="s">
        <v>21</v>
      </c>
      <c r="F42" s="10"/>
      <c r="G42" s="58" t="s">
        <v>23</v>
      </c>
      <c r="H42" s="59"/>
      <c r="I42" s="59"/>
      <c r="J42" s="59"/>
      <c r="K42" s="59"/>
      <c r="L42" s="59"/>
      <c r="M42" s="59"/>
      <c r="N42" s="59"/>
      <c r="O42" s="59"/>
      <c r="P42" s="59"/>
      <c r="Q42" s="59"/>
      <c r="R42" s="59"/>
      <c r="S42" s="59"/>
      <c r="T42" s="59"/>
      <c r="U42" s="59"/>
      <c r="V42" s="59"/>
      <c r="W42" s="59"/>
      <c r="X42" s="59"/>
      <c r="Y42" s="59"/>
      <c r="Z42" s="60"/>
    </row>
    <row r="43" spans="1:26" ht="29.4" customHeight="1" x14ac:dyDescent="0.25">
      <c r="A43" s="43">
        <v>1</v>
      </c>
      <c r="B43" s="44"/>
      <c r="C43" s="54"/>
      <c r="D43" s="54"/>
      <c r="E43" s="41"/>
      <c r="F43" s="10"/>
      <c r="G43" s="61"/>
      <c r="H43" s="62"/>
      <c r="I43" s="62"/>
      <c r="J43" s="62"/>
      <c r="K43" s="62"/>
      <c r="L43" s="62"/>
      <c r="M43" s="62"/>
      <c r="N43" s="62"/>
      <c r="O43" s="62"/>
      <c r="P43" s="62"/>
      <c r="Q43" s="62"/>
      <c r="R43" s="62"/>
      <c r="S43" s="62"/>
      <c r="T43" s="62"/>
      <c r="U43" s="62"/>
      <c r="V43" s="62"/>
      <c r="W43" s="62"/>
      <c r="X43" s="62"/>
      <c r="Y43" s="62"/>
      <c r="Z43" s="63"/>
    </row>
    <row r="44" spans="1:26" ht="38.4" customHeight="1" x14ac:dyDescent="0.25">
      <c r="A44" s="43">
        <v>2</v>
      </c>
      <c r="B44" s="44"/>
      <c r="C44" s="54"/>
      <c r="D44" s="54"/>
      <c r="E44" s="41"/>
      <c r="F44" s="10"/>
      <c r="G44" s="11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3"/>
    </row>
    <row r="45" spans="1:26" ht="38.4" customHeight="1" x14ac:dyDescent="0.25">
      <c r="A45" s="43">
        <v>3</v>
      </c>
      <c r="B45" s="44"/>
      <c r="C45" s="54"/>
      <c r="D45" s="55"/>
      <c r="E45" s="41"/>
      <c r="F45" s="10"/>
      <c r="G45" s="11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3"/>
    </row>
    <row r="46" spans="1:26" ht="34.950000000000003" customHeight="1" x14ac:dyDescent="0.25">
      <c r="A46" s="43">
        <v>4</v>
      </c>
      <c r="B46" s="44"/>
      <c r="C46" s="54"/>
      <c r="D46" s="54"/>
      <c r="E46" s="41"/>
      <c r="F46" s="10"/>
      <c r="G46" s="11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3"/>
    </row>
    <row r="47" spans="1:26" ht="28.2" customHeight="1" x14ac:dyDescent="0.25">
      <c r="A47" s="43">
        <v>5</v>
      </c>
      <c r="B47" s="44"/>
      <c r="C47" s="54"/>
      <c r="D47" s="54"/>
      <c r="E47" s="41"/>
      <c r="F47" s="10"/>
      <c r="G47" s="11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3"/>
    </row>
    <row r="48" spans="1:26" ht="29.4" customHeight="1" x14ac:dyDescent="0.25">
      <c r="A48" s="43">
        <v>6</v>
      </c>
      <c r="B48" s="44"/>
      <c r="C48" s="54"/>
      <c r="D48" s="54"/>
      <c r="E48" s="41"/>
      <c r="F48" s="10"/>
      <c r="G48" s="11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3"/>
    </row>
    <row r="49" spans="1:29" ht="21" customHeight="1" x14ac:dyDescent="0.25">
      <c r="A49" s="43">
        <v>7</v>
      </c>
      <c r="B49" s="44"/>
      <c r="C49" s="69"/>
      <c r="D49" s="56"/>
      <c r="E49" s="42"/>
      <c r="F49" s="10"/>
      <c r="G49" s="11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3"/>
    </row>
    <row r="50" spans="1:29" ht="21" customHeight="1" x14ac:dyDescent="0.25">
      <c r="A50" s="43">
        <v>8</v>
      </c>
      <c r="B50" s="44"/>
      <c r="C50" s="69"/>
      <c r="D50" s="56"/>
      <c r="E50" s="42"/>
      <c r="F50" s="10"/>
      <c r="G50" s="11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3"/>
    </row>
    <row r="51" spans="1:29" ht="21" customHeight="1" x14ac:dyDescent="0.25">
      <c r="A51" s="43">
        <v>9</v>
      </c>
      <c r="B51" s="44"/>
      <c r="C51" s="74"/>
      <c r="D51" s="56"/>
      <c r="E51" s="42"/>
      <c r="F51" s="10"/>
      <c r="G51" s="11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3"/>
    </row>
    <row r="52" spans="1:29" ht="21" customHeight="1" x14ac:dyDescent="0.25">
      <c r="A52" s="43">
        <v>10</v>
      </c>
      <c r="B52" s="44"/>
      <c r="C52" s="74"/>
      <c r="D52" s="56"/>
      <c r="E52" s="42"/>
      <c r="F52" s="10"/>
      <c r="G52" s="11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3"/>
    </row>
    <row r="53" spans="1:29" ht="21" customHeight="1" thickBot="1" x14ac:dyDescent="0.3">
      <c r="A53" s="43">
        <v>11</v>
      </c>
      <c r="B53" s="44"/>
      <c r="C53" s="56"/>
      <c r="D53" s="56"/>
      <c r="E53" s="42"/>
      <c r="F53" s="10"/>
      <c r="G53" s="14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6"/>
    </row>
    <row r="54" spans="1:29" ht="21" customHeight="1" thickTop="1" thickBot="1" x14ac:dyDescent="0.3">
      <c r="A54" s="43">
        <v>12</v>
      </c>
      <c r="B54" s="44"/>
      <c r="C54" s="56"/>
      <c r="D54" s="56"/>
      <c r="E54" s="42"/>
      <c r="AC54" s="26"/>
    </row>
    <row r="55" spans="1:29" ht="21" customHeight="1" thickTop="1" x14ac:dyDescent="0.25">
      <c r="A55" s="43">
        <v>13</v>
      </c>
      <c r="B55" s="44"/>
      <c r="C55" s="56"/>
      <c r="D55" s="56"/>
      <c r="E55" s="42"/>
      <c r="F55" s="10"/>
      <c r="G55" s="80" t="s">
        <v>10</v>
      </c>
      <c r="H55" s="81"/>
      <c r="I55" s="81"/>
      <c r="J55" s="81"/>
      <c r="K55" s="81"/>
      <c r="L55" s="81"/>
      <c r="M55" s="81"/>
      <c r="N55" s="81"/>
      <c r="O55" s="81"/>
      <c r="P55" s="82"/>
      <c r="R55" s="80" t="s">
        <v>11</v>
      </c>
      <c r="S55" s="81"/>
      <c r="T55" s="81"/>
      <c r="U55" s="81"/>
      <c r="V55" s="81"/>
      <c r="W55" s="81"/>
      <c r="X55" s="81"/>
      <c r="Y55" s="81"/>
      <c r="Z55" s="82"/>
    </row>
    <row r="56" spans="1:29" ht="21" customHeight="1" x14ac:dyDescent="0.25">
      <c r="A56" s="43">
        <v>14</v>
      </c>
      <c r="B56" s="44"/>
      <c r="C56" s="56"/>
      <c r="D56" s="56"/>
      <c r="E56" s="42"/>
      <c r="F56" s="10"/>
      <c r="G56" s="83"/>
      <c r="H56" s="51"/>
      <c r="I56" s="51"/>
      <c r="J56" s="51"/>
      <c r="K56" s="51"/>
      <c r="L56" s="51"/>
      <c r="M56" s="51"/>
      <c r="N56" s="51"/>
      <c r="O56" s="51"/>
      <c r="P56" s="84"/>
      <c r="R56" s="83"/>
      <c r="S56" s="51"/>
      <c r="T56" s="51"/>
      <c r="U56" s="51"/>
      <c r="V56" s="51"/>
      <c r="W56" s="51"/>
      <c r="X56" s="51"/>
      <c r="Y56" s="51"/>
      <c r="Z56" s="84"/>
    </row>
    <row r="57" spans="1:29" ht="21" customHeight="1" x14ac:dyDescent="0.25">
      <c r="A57" s="43">
        <v>15</v>
      </c>
      <c r="B57" s="44"/>
      <c r="C57" s="56"/>
      <c r="D57" s="56"/>
      <c r="E57" s="42"/>
      <c r="F57" s="10"/>
      <c r="G57" s="78" t="s">
        <v>24</v>
      </c>
      <c r="H57" s="79"/>
      <c r="I57" s="79"/>
      <c r="J57" s="79"/>
      <c r="K57" s="79"/>
      <c r="L57" s="79"/>
      <c r="M57" s="51">
        <f>COUNTIF(Y9:Y39,"&lt;=49")</f>
        <v>0</v>
      </c>
      <c r="N57" s="51"/>
      <c r="O57" s="92" t="e">
        <f>(M57)/(SUM(M57:N61))</f>
        <v>#DIV/0!</v>
      </c>
      <c r="P57" s="93"/>
      <c r="R57" s="87" t="s">
        <v>33</v>
      </c>
      <c r="S57" s="88"/>
      <c r="T57" s="88"/>
      <c r="U57" s="88"/>
      <c r="V57" s="88"/>
      <c r="W57" s="88"/>
      <c r="X57" s="89"/>
      <c r="Y57" s="27">
        <f>MAX(Y9:Y39)</f>
        <v>0</v>
      </c>
      <c r="Z57" s="23">
        <f>MIN(Y9:Y39)</f>
        <v>0</v>
      </c>
    </row>
    <row r="58" spans="1:29" ht="21" customHeight="1" x14ac:dyDescent="0.25">
      <c r="A58" s="43">
        <v>16</v>
      </c>
      <c r="B58" s="44"/>
      <c r="C58" s="56"/>
      <c r="D58" s="56"/>
      <c r="E58" s="42"/>
      <c r="F58" s="10"/>
      <c r="G58" s="78" t="s">
        <v>25</v>
      </c>
      <c r="H58" s="79"/>
      <c r="I58" s="79"/>
      <c r="J58" s="79"/>
      <c r="K58" s="79"/>
      <c r="L58" s="79"/>
      <c r="M58" s="50">
        <f>COUNTIF(Y9:Y39,"&lt;=59")-M57</f>
        <v>0</v>
      </c>
      <c r="N58" s="51"/>
      <c r="O58" s="92" t="e">
        <f>(M58)/(SUM(M57:N61))</f>
        <v>#DIV/0!</v>
      </c>
      <c r="P58" s="93"/>
      <c r="R58" s="85" t="s">
        <v>29</v>
      </c>
      <c r="S58" s="86"/>
      <c r="T58" s="86"/>
      <c r="U58" s="86"/>
      <c r="V58" s="86"/>
      <c r="W58" s="86"/>
      <c r="X58" s="86"/>
      <c r="Y58" s="90" t="e">
        <f>AVERAGE(Y9:Y39)</f>
        <v>#DIV/0!</v>
      </c>
      <c r="Z58" s="91"/>
    </row>
    <row r="59" spans="1:29" ht="21" customHeight="1" x14ac:dyDescent="0.25">
      <c r="A59" s="43">
        <v>17</v>
      </c>
      <c r="B59" s="44"/>
      <c r="C59" s="56"/>
      <c r="D59" s="56"/>
      <c r="E59" s="42"/>
      <c r="F59" s="10"/>
      <c r="G59" s="78" t="s">
        <v>26</v>
      </c>
      <c r="H59" s="79"/>
      <c r="I59" s="79"/>
      <c r="J59" s="79"/>
      <c r="K59" s="79"/>
      <c r="L59" s="79"/>
      <c r="M59" s="50">
        <f>COUNTIF(Y9:Y39,"&lt;=69")-M58-M57</f>
        <v>0</v>
      </c>
      <c r="N59" s="51"/>
      <c r="O59" s="92" t="e">
        <f>(M59)/(SUM(M57:N61))</f>
        <v>#DIV/0!</v>
      </c>
      <c r="P59" s="93"/>
      <c r="R59" s="105" t="s">
        <v>32</v>
      </c>
      <c r="S59" s="106"/>
      <c r="T59" s="106"/>
      <c r="U59" s="106"/>
      <c r="V59" s="106"/>
      <c r="W59" s="106"/>
      <c r="X59" s="107"/>
      <c r="Y59" s="111" t="e">
        <f>(M62)/(SUM(M62:N63))</f>
        <v>#DIV/0!</v>
      </c>
      <c r="Z59" s="112"/>
    </row>
    <row r="60" spans="1:29" ht="21" customHeight="1" x14ac:dyDescent="0.25">
      <c r="A60" s="43">
        <v>18</v>
      </c>
      <c r="B60" s="44"/>
      <c r="C60" s="56"/>
      <c r="D60" s="56"/>
      <c r="E60" s="42"/>
      <c r="F60" s="10"/>
      <c r="G60" s="78" t="s">
        <v>27</v>
      </c>
      <c r="H60" s="79"/>
      <c r="I60" s="79"/>
      <c r="J60" s="79"/>
      <c r="K60" s="79"/>
      <c r="L60" s="79"/>
      <c r="M60" s="50">
        <f>COUNTIF(Y9:Y39,"&lt;=84")-M59-M58-M57</f>
        <v>0</v>
      </c>
      <c r="N60" s="51"/>
      <c r="O60" s="92" t="e">
        <f>(M60)/(SUM(M57:N61))</f>
        <v>#DIV/0!</v>
      </c>
      <c r="P60" s="93"/>
      <c r="R60" s="108"/>
      <c r="S60" s="109"/>
      <c r="T60" s="109"/>
      <c r="U60" s="109"/>
      <c r="V60" s="109"/>
      <c r="W60" s="109"/>
      <c r="X60" s="110"/>
      <c r="Y60" s="113"/>
      <c r="Z60" s="114"/>
    </row>
    <row r="61" spans="1:29" ht="21" customHeight="1" x14ac:dyDescent="0.25">
      <c r="A61" s="43">
        <v>19</v>
      </c>
      <c r="B61" s="44"/>
      <c r="C61" s="56"/>
      <c r="D61" s="56"/>
      <c r="E61" s="42"/>
      <c r="F61" s="10"/>
      <c r="G61" s="78" t="s">
        <v>28</v>
      </c>
      <c r="H61" s="79"/>
      <c r="I61" s="79"/>
      <c r="J61" s="79"/>
      <c r="K61" s="79"/>
      <c r="L61" s="79"/>
      <c r="M61" s="50">
        <f>COUNTIF(Y9:Y39,"&lt;=100")-M60-M59-M58-M57</f>
        <v>0</v>
      </c>
      <c r="N61" s="51"/>
      <c r="O61" s="92" t="e">
        <f>(M61)/(SUM(M57:N61))</f>
        <v>#DIV/0!</v>
      </c>
      <c r="P61" s="93"/>
      <c r="R61" s="96"/>
      <c r="S61" s="97"/>
      <c r="T61" s="97"/>
      <c r="U61" s="97"/>
      <c r="V61" s="97"/>
      <c r="W61" s="97"/>
      <c r="X61" s="97"/>
      <c r="Y61" s="97"/>
      <c r="Z61" s="98"/>
    </row>
    <row r="62" spans="1:29" ht="21" customHeight="1" x14ac:dyDescent="0.25">
      <c r="A62" s="43">
        <v>20</v>
      </c>
      <c r="B62" s="44"/>
      <c r="C62" s="56"/>
      <c r="D62" s="56"/>
      <c r="E62" s="42"/>
      <c r="F62" s="10"/>
      <c r="G62" s="78" t="s">
        <v>30</v>
      </c>
      <c r="H62" s="79"/>
      <c r="I62" s="79"/>
      <c r="J62" s="79"/>
      <c r="K62" s="79"/>
      <c r="L62" s="79"/>
      <c r="M62" s="52">
        <f>SUM(M58:N61)</f>
        <v>0</v>
      </c>
      <c r="N62" s="53"/>
      <c r="O62" s="92" t="e">
        <f>SUM(O58:P61)</f>
        <v>#DIV/0!</v>
      </c>
      <c r="P62" s="93"/>
      <c r="R62" s="99"/>
      <c r="S62" s="100"/>
      <c r="T62" s="100"/>
      <c r="U62" s="100"/>
      <c r="V62" s="100"/>
      <c r="W62" s="100"/>
      <c r="X62" s="100"/>
      <c r="Y62" s="100"/>
      <c r="Z62" s="101"/>
    </row>
    <row r="63" spans="1:29" ht="21" customHeight="1" thickBot="1" x14ac:dyDescent="0.3">
      <c r="A63" s="45"/>
      <c r="B63" s="46"/>
      <c r="C63" s="51" t="s">
        <v>9</v>
      </c>
      <c r="D63" s="51"/>
      <c r="E63" s="39">
        <f>SUM(E43:E62)</f>
        <v>0</v>
      </c>
      <c r="F63" s="10"/>
      <c r="G63" s="94" t="s">
        <v>31</v>
      </c>
      <c r="H63" s="95"/>
      <c r="I63" s="95"/>
      <c r="J63" s="95"/>
      <c r="K63" s="95"/>
      <c r="L63" s="95"/>
      <c r="M63" s="115">
        <f>M57</f>
        <v>0</v>
      </c>
      <c r="N63" s="115"/>
      <c r="O63" s="116" t="e">
        <f>O57</f>
        <v>#DIV/0!</v>
      </c>
      <c r="P63" s="117"/>
      <c r="R63" s="102"/>
      <c r="S63" s="103"/>
      <c r="T63" s="103"/>
      <c r="U63" s="103"/>
      <c r="V63" s="103"/>
      <c r="W63" s="103"/>
      <c r="X63" s="103"/>
      <c r="Y63" s="103"/>
      <c r="Z63" s="104"/>
    </row>
    <row r="64" spans="1:29" ht="13.8" thickTop="1" x14ac:dyDescent="0.25"/>
    <row r="68" spans="19:19" x14ac:dyDescent="0.25">
      <c r="S68" s="26"/>
    </row>
  </sheetData>
  <sheetProtection selectLockedCells="1"/>
  <mergeCells count="90">
    <mergeCell ref="G60:L60"/>
    <mergeCell ref="G61:L61"/>
    <mergeCell ref="G62:L62"/>
    <mergeCell ref="G63:L63"/>
    <mergeCell ref="R61:Z63"/>
    <mergeCell ref="R59:X60"/>
    <mergeCell ref="Y59:Z60"/>
    <mergeCell ref="G59:L59"/>
    <mergeCell ref="M63:N63"/>
    <mergeCell ref="O59:P59"/>
    <mergeCell ref="O60:P60"/>
    <mergeCell ref="O61:P61"/>
    <mergeCell ref="O62:P62"/>
    <mergeCell ref="O63:P63"/>
    <mergeCell ref="M59:N59"/>
    <mergeCell ref="M60:N60"/>
    <mergeCell ref="G58:L58"/>
    <mergeCell ref="G57:L57"/>
    <mergeCell ref="G55:P56"/>
    <mergeCell ref="R55:Z56"/>
    <mergeCell ref="R58:X58"/>
    <mergeCell ref="R57:X57"/>
    <mergeCell ref="Y58:Z58"/>
    <mergeCell ref="O57:P57"/>
    <mergeCell ref="O58:P58"/>
    <mergeCell ref="M57:N57"/>
    <mergeCell ref="M58:N58"/>
    <mergeCell ref="C60:D60"/>
    <mergeCell ref="C63:D63"/>
    <mergeCell ref="C62:D62"/>
    <mergeCell ref="B7:D7"/>
    <mergeCell ref="B40:D40"/>
    <mergeCell ref="C61:D61"/>
    <mergeCell ref="C51:D51"/>
    <mergeCell ref="C52:D52"/>
    <mergeCell ref="C53:D53"/>
    <mergeCell ref="C57:D57"/>
    <mergeCell ref="C47:D47"/>
    <mergeCell ref="C43:D43"/>
    <mergeCell ref="C46:D46"/>
    <mergeCell ref="C50:D50"/>
    <mergeCell ref="A42:D42"/>
    <mergeCell ref="A43:B43"/>
    <mergeCell ref="M61:N61"/>
    <mergeCell ref="M62:N62"/>
    <mergeCell ref="B4:C4"/>
    <mergeCell ref="C48:D48"/>
    <mergeCell ref="C44:D44"/>
    <mergeCell ref="C45:D45"/>
    <mergeCell ref="C54:D54"/>
    <mergeCell ref="C55:D55"/>
    <mergeCell ref="C56:D56"/>
    <mergeCell ref="C58:D58"/>
    <mergeCell ref="C59:D59"/>
    <mergeCell ref="J5:O5"/>
    <mergeCell ref="G42:Z43"/>
    <mergeCell ref="E7:X7"/>
    <mergeCell ref="Z7:Z8"/>
    <mergeCell ref="C49:D49"/>
    <mergeCell ref="J3:O3"/>
    <mergeCell ref="B1:Z1"/>
    <mergeCell ref="F3:I3"/>
    <mergeCell ref="F4:I4"/>
    <mergeCell ref="B5:C5"/>
    <mergeCell ref="F5:I5"/>
    <mergeCell ref="F2:I2"/>
    <mergeCell ref="B2:C2"/>
    <mergeCell ref="B3:C3"/>
    <mergeCell ref="J2:O2"/>
    <mergeCell ref="J4:O4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  <mergeCell ref="A63:B63"/>
    <mergeCell ref="A58:B58"/>
    <mergeCell ref="A59:B59"/>
    <mergeCell ref="A60:B60"/>
    <mergeCell ref="A61:B61"/>
    <mergeCell ref="A62:B62"/>
  </mergeCells>
  <phoneticPr fontId="0" type="noConversion"/>
  <printOptions horizontalCentered="1" verticalCentered="1"/>
  <pageMargins left="0" right="0" top="0" bottom="0" header="0" footer="0"/>
  <pageSetup paperSize="9" scale="60" orientation="portrait" blackAndWhite="1" r:id="rId1"/>
  <headerFooter alignWithMargins="0"/>
  <drawing r:id="rId2"/>
  <legacyDrawing r:id="rId3"/>
  <picture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3.2" x14ac:dyDescent="0.25"/>
  <sheetData/>
  <sheetProtection password="8F97" sheet="1" objects="1" scenarios="1"/>
  <phoneticPr fontId="0" type="noConversion"/>
  <pageMargins left="0.75" right="0.75" top="1" bottom="1" header="0.5" footer="0.5"/>
  <pageSetup paperSize="9" orientation="portrait" r:id="rId1"/>
  <headerFooter alignWithMargins="0"/>
  <drawing r:id="rId2"/>
  <picture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ANA_SAYFA</vt:lpstr>
      <vt:lpstr>HAZIRLAYAN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YK</dc:creator>
  <cp:lastModifiedBy>Kaan Yorgun</cp:lastModifiedBy>
  <cp:lastPrinted>2025-11-02T17:32:43Z</cp:lastPrinted>
  <dcterms:created xsi:type="dcterms:W3CDTF">2008-11-23T18:25:14Z</dcterms:created>
  <dcterms:modified xsi:type="dcterms:W3CDTF">2025-11-27T20:44:38Z</dcterms:modified>
</cp:coreProperties>
</file>